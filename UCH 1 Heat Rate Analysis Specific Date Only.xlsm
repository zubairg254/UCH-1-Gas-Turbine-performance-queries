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7.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tables/table8.xml" ContentType="application/vnd.openxmlformats-officedocument.spreadsheetml.table+xml"/>
  <Override PartName="/xl/queryTables/queryTable1.xml" ContentType="application/vnd.openxmlformats-officedocument.spreadsheetml.queryTable+xml"/>
  <Override PartName="/xl/tables/table9.xml" ContentType="application/vnd.openxmlformats-officedocument.spreadsheetml.table+xml"/>
  <Override PartName="/xl/queryTables/queryTable2.xml" ContentType="application/vnd.openxmlformats-officedocument.spreadsheetml.queryTable+xml"/>
  <Override PartName="/xl/tables/table10.xml" ContentType="application/vnd.openxmlformats-officedocument.spreadsheetml.table+xml"/>
  <Override PartName="/xl/queryTables/queryTable3.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tables/table11.xml" ContentType="application/vnd.openxmlformats-officedocument.spreadsheetml.table+xml"/>
  <Override PartName="/xl/queryTables/queryTable4.xml" ContentType="application/vnd.openxmlformats-officedocument.spreadsheetml.queryTable+xml"/>
  <Override PartName="/xl/slicers/slicer1.xml" ContentType="application/vnd.ms-excel.slicer+xml"/>
  <Override PartName="/xl/tables/table12.xml" ContentType="application/vnd.openxmlformats-officedocument.spreadsheetml.table+xml"/>
  <Override PartName="/xl/queryTables/queryTable5.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hidePivotFieldList="1"/>
  <mc:AlternateContent xmlns:mc="http://schemas.openxmlformats.org/markup-compatibility/2006">
    <mc:Choice Requires="x15">
      <x15ac:absPath xmlns:x15ac="http://schemas.microsoft.com/office/spreadsheetml/2010/11/ac" url="Z:\O Operations\O04 General Records\O4.02 Plant Performance Monitoring\O4.02.01 Uch-I\2026\01 Internal Performance Test\"/>
    </mc:Choice>
  </mc:AlternateContent>
  <xr:revisionPtr revIDLastSave="0" documentId="13_ncr:1_{5CB82DAC-BAFA-41A7-8CED-ACB38E9F0944}" xr6:coauthVersionLast="47" xr6:coauthVersionMax="47" xr10:uidLastSave="{00000000-0000-0000-0000-000000000000}"/>
  <bookViews>
    <workbookView xWindow="-108" yWindow="-108" windowWidth="23256" windowHeight="12456" tabRatio="773" firstSheet="3" activeTab="8" xr2:uid="{00000000-000D-0000-FFFF-FFFF00000000}"/>
  </bookViews>
  <sheets>
    <sheet name="File Path" sheetId="13" state="hidden" r:id="rId1"/>
    <sheet name="OFWW Log" sheetId="25" r:id="rId2"/>
    <sheet name="GT StartStopLog" sheetId="26" r:id="rId3"/>
    <sheet name="Fuel. Gas specifications" sheetId="2" r:id="rId4"/>
    <sheet name="GT1A_Performance" sheetId="17" r:id="rId5"/>
    <sheet name="GT1B_Performance" sheetId="18" r:id="rId6"/>
    <sheet name="GT1C_Performance" sheetId="19" r:id="rId7"/>
    <sheet name="Performance Chart" sheetId="24" r:id="rId8"/>
    <sheet name="GT_Combined_Summary" sheetId="20" r:id="rId9"/>
    <sheet name="2026 eDNA Data" sheetId="3" state="veryHidden" r:id="rId10"/>
  </sheets>
  <functionGroups builtInGroupCount="19"/>
  <definedNames>
    <definedName name="_xleta.HOUR" hidden="1" xlm="1">#NAME?</definedName>
    <definedName name="_xleta.IF" hidden="1" xlm="1">#NAME?</definedName>
    <definedName name="_xleta.MID" hidden="1" xlm="1">#NAME?</definedName>
    <definedName name="_xleta.MIN" hidden="1" xlm="1">#NAME?</definedName>
    <definedName name="_xleta.RATE" hidden="1" xlm="1">#NAME?</definedName>
    <definedName name="_xleta.ROUND" hidden="1" xlm="1">#NAME?</definedName>
    <definedName name="_xleta.SUM" hidden="1" xlm="1">#NAME?</definedName>
    <definedName name="_xlpm.filtered" hidden="1" xlm="1">#NAME?</definedName>
    <definedName name="Dates_of_FCBL">#REF!</definedName>
    <definedName name="EndDate">'OFWW Log'!$B$12</definedName>
    <definedName name="ExternalData_1" localSheetId="9" hidden="1">'2026 eDNA Data'!$B$2:$EO$13</definedName>
    <definedName name="ExternalData_2" localSheetId="4" hidden="1">GT1A_Performance!$A$1:$DG$12</definedName>
    <definedName name="ExternalData_3" localSheetId="5" hidden="1">GT1B_Performance!$A$1:$DG$12</definedName>
    <definedName name="ExternalData_4" localSheetId="6" hidden="1">GT1C_Performance!$A$1:$DG$12</definedName>
    <definedName name="ExternalData_5" localSheetId="8" hidden="1">GT_Combined_Summary!$A$2:$AR$46</definedName>
    <definedName name="_xlnm.Print_Area" localSheetId="7">'Performance Chart'!$A$1:$X$186</definedName>
    <definedName name="Slicer_Gas_Turbine">#N/A</definedName>
    <definedName name="Slicer_Hour">#N/A</definedName>
    <definedName name="StartDate">'OFWW Log'!$B$11</definedName>
  </definedNames>
  <calcPr calcId="191029"/>
  <extLst>
    <ext xmlns:x14="http://schemas.microsoft.com/office/spreadsheetml/2009/9/main" uri="{8193D73E-4604-4355-AFF4-8A2333D13BE4}">
      <x14:definedNames>
        <x14:definedName name="CompEfficiency">
          <x14:argumentDescriptions count="3">
            <x14:argumentDescription index="0">Enter the CPR (Compressor Pressure Ratio). Typically cell E24 or the result of the CPR function.</x14:argumentDescription>
            <x14:argumentDescription index="1">Enter CTIM: Air temperature at compressor inlet (°C). Typically cell E15.</x14:argumentDescription>
            <x14:argumentDescription index="2">Enter CTD: Air temperature at compressor discharge (°C). Typically cell E16.</x14:argumentDescription>
          </x14:argumentDescriptions>
        </x14:definedName>
      </x14:definedNam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1"/>
        <x14:slicerCache r:id="rId12"/>
      </x15:slicerCache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P3" i="3" l="1"/>
  <c r="EP4" i="3"/>
  <c r="EP5" i="3"/>
  <c r="EP6" i="3"/>
  <c r="EP7" i="3"/>
  <c r="EP8" i="3"/>
  <c r="EP9" i="3"/>
  <c r="EP10" i="3"/>
  <c r="EP11" i="3"/>
  <c r="EP12" i="3"/>
  <c r="EP13" i="3"/>
  <c r="EQ3" i="3"/>
  <c r="EQ4" i="3"/>
  <c r="EQ5" i="3"/>
  <c r="EQ6" i="3"/>
  <c r="EQ7" i="3"/>
  <c r="EQ8" i="3"/>
  <c r="EQ9" i="3"/>
  <c r="EQ10" i="3"/>
  <c r="EQ11" i="3"/>
  <c r="EQ12" i="3"/>
  <c r="EQ13" i="3"/>
  <c r="ER3" i="3"/>
  <c r="ER4" i="3"/>
  <c r="ER5" i="3"/>
  <c r="ER6" i="3"/>
  <c r="ER7" i="3"/>
  <c r="ER8" i="3"/>
  <c r="ER9" i="3"/>
  <c r="ER10" i="3"/>
  <c r="ER11" i="3"/>
  <c r="ER12" i="3"/>
  <c r="ER13" i="3"/>
  <c r="ES3" i="3"/>
  <c r="ES4" i="3"/>
  <c r="ES5" i="3"/>
  <c r="ES6" i="3"/>
  <c r="ES7" i="3"/>
  <c r="ES8" i="3"/>
  <c r="ES9" i="3"/>
  <c r="ES10" i="3"/>
  <c r="ES11" i="3"/>
  <c r="ES12" i="3"/>
  <c r="ES13" i="3"/>
  <c r="ET3" i="3"/>
  <c r="ET4" i="3"/>
  <c r="ET5" i="3"/>
  <c r="ET6" i="3"/>
  <c r="ET7" i="3"/>
  <c r="ET8" i="3"/>
  <c r="ET9" i="3"/>
  <c r="ET10" i="3"/>
  <c r="ET11" i="3"/>
  <c r="ET12" i="3"/>
  <c r="ET13" i="3"/>
  <c r="EU3" i="3"/>
  <c r="EU4" i="3"/>
  <c r="EU5" i="3"/>
  <c r="EU6" i="3"/>
  <c r="EU7" i="3"/>
  <c r="EU8" i="3"/>
  <c r="EU9" i="3"/>
  <c r="EU10" i="3"/>
  <c r="EU11" i="3"/>
  <c r="EU12" i="3"/>
  <c r="EU13" i="3"/>
  <c r="EV3" i="3"/>
  <c r="EV4" i="3"/>
  <c r="EV5" i="3"/>
  <c r="EV6" i="3"/>
  <c r="EV7" i="3"/>
  <c r="EV8" i="3"/>
  <c r="EV9" i="3"/>
  <c r="EV10" i="3"/>
  <c r="EV11" i="3"/>
  <c r="EV12" i="3"/>
  <c r="EV13" i="3"/>
  <c r="Y125" i="2"/>
  <c r="X125" i="2"/>
  <c r="Z125" i="2" s="1"/>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V10" i="2"/>
  <c r="V11" i="2"/>
  <c r="V12" i="2"/>
  <c r="V13" i="2"/>
  <c r="V14" i="2"/>
  <c r="V15" i="2"/>
  <c r="V16" i="2"/>
  <c r="V17" i="2"/>
  <c r="V18" i="2"/>
  <c r="V19" i="2"/>
  <c r="V20" i="2"/>
  <c r="V21" i="2"/>
  <c r="V22" i="2"/>
  <c r="V23" i="2"/>
  <c r="V24" i="2"/>
  <c r="V25" i="2"/>
  <c r="V26" i="2"/>
  <c r="V27" i="2"/>
  <c r="V28" i="2"/>
  <c r="V29" i="2"/>
  <c r="V30" i="2"/>
  <c r="V31" i="2"/>
  <c r="V32" i="2"/>
  <c r="V33" i="2"/>
  <c r="V34" i="2"/>
  <c r="V35" i="2"/>
  <c r="V36" i="2"/>
  <c r="V37" i="2"/>
  <c r="V38" i="2"/>
  <c r="V39" i="2"/>
  <c r="V40" i="2"/>
  <c r="V41" i="2"/>
  <c r="V42" i="2"/>
  <c r="V43" i="2"/>
  <c r="V44" i="2"/>
  <c r="V45" i="2"/>
  <c r="V46" i="2"/>
  <c r="V47" i="2"/>
  <c r="V48" i="2"/>
  <c r="V49" i="2"/>
  <c r="V50" i="2"/>
  <c r="V51" i="2"/>
  <c r="V52" i="2"/>
  <c r="V53" i="2"/>
  <c r="V54" i="2"/>
  <c r="V55" i="2"/>
  <c r="V56" i="2"/>
  <c r="V57" i="2"/>
  <c r="V58" i="2"/>
  <c r="V59" i="2"/>
  <c r="V60" i="2"/>
  <c r="V61" i="2"/>
  <c r="V62" i="2"/>
  <c r="V63" i="2"/>
  <c r="V64" i="2"/>
  <c r="V65" i="2"/>
  <c r="V66" i="2"/>
  <c r="V67" i="2"/>
  <c r="V68" i="2"/>
  <c r="V69" i="2"/>
  <c r="V70" i="2"/>
  <c r="V71" i="2"/>
  <c r="V72" i="2"/>
  <c r="V73" i="2"/>
  <c r="V74" i="2"/>
  <c r="V75" i="2"/>
  <c r="V76" i="2"/>
  <c r="V77" i="2"/>
  <c r="V78" i="2"/>
  <c r="V79" i="2"/>
  <c r="V80" i="2"/>
  <c r="V81" i="2"/>
  <c r="V82" i="2"/>
  <c r="V83" i="2"/>
  <c r="V84" i="2"/>
  <c r="V85" i="2"/>
  <c r="V86" i="2"/>
  <c r="V87" i="2"/>
  <c r="V88" i="2"/>
  <c r="V89" i="2"/>
  <c r="V90" i="2"/>
  <c r="V91" i="2"/>
  <c r="V92" i="2"/>
  <c r="V93" i="2"/>
  <c r="V94" i="2"/>
  <c r="V95" i="2"/>
  <c r="V96" i="2"/>
  <c r="V97" i="2"/>
  <c r="V98" i="2"/>
  <c r="V99" i="2"/>
  <c r="V100" i="2"/>
  <c r="V101" i="2"/>
  <c r="V102" i="2"/>
  <c r="V103" i="2"/>
  <c r="V104" i="2"/>
  <c r="V105" i="2"/>
  <c r="V106" i="2"/>
  <c r="V107" i="2"/>
  <c r="V108" i="2"/>
  <c r="V109" i="2"/>
  <c r="V110" i="2"/>
  <c r="V111" i="2"/>
  <c r="V112" i="2"/>
  <c r="V113" i="2"/>
  <c r="V114" i="2"/>
  <c r="V115" i="2"/>
  <c r="V116" i="2"/>
  <c r="V117" i="2"/>
  <c r="V118" i="2"/>
  <c r="V119" i="2"/>
  <c r="V120" i="2"/>
  <c r="V121" i="2"/>
  <c r="V122" i="2"/>
  <c r="V123" i="2"/>
  <c r="V124" i="2"/>
  <c r="V125"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U47" i="2"/>
  <c r="U48" i="2"/>
  <c r="U49" i="2"/>
  <c r="U50" i="2"/>
  <c r="U51" i="2"/>
  <c r="U52" i="2"/>
  <c r="U53" i="2"/>
  <c r="U54" i="2"/>
  <c r="U55" i="2"/>
  <c r="U56" i="2"/>
  <c r="U57" i="2"/>
  <c r="U58" i="2"/>
  <c r="U59" i="2"/>
  <c r="U60" i="2"/>
  <c r="U61" i="2"/>
  <c r="U62" i="2"/>
  <c r="U63" i="2"/>
  <c r="U64" i="2"/>
  <c r="U65" i="2"/>
  <c r="U66" i="2"/>
  <c r="U67" i="2"/>
  <c r="U68" i="2"/>
  <c r="U69" i="2"/>
  <c r="U70" i="2"/>
  <c r="U71" i="2"/>
  <c r="U72" i="2"/>
  <c r="U73" i="2"/>
  <c r="U74" i="2"/>
  <c r="U75" i="2"/>
  <c r="U76" i="2"/>
  <c r="U77" i="2"/>
  <c r="U78" i="2"/>
  <c r="U79" i="2"/>
  <c r="U80" i="2"/>
  <c r="U81" i="2"/>
  <c r="U82" i="2"/>
  <c r="U83" i="2"/>
  <c r="U84" i="2"/>
  <c r="U85" i="2"/>
  <c r="U86" i="2"/>
  <c r="U87" i="2"/>
  <c r="U88" i="2"/>
  <c r="U89" i="2"/>
  <c r="U90" i="2"/>
  <c r="U91" i="2"/>
  <c r="U92" i="2"/>
  <c r="U93" i="2"/>
  <c r="U94" i="2"/>
  <c r="U95" i="2"/>
  <c r="U96" i="2"/>
  <c r="U97" i="2"/>
  <c r="U98" i="2"/>
  <c r="U99" i="2"/>
  <c r="U100" i="2"/>
  <c r="U101" i="2"/>
  <c r="U102" i="2"/>
  <c r="U103" i="2"/>
  <c r="U104" i="2"/>
  <c r="U105" i="2"/>
  <c r="U106" i="2"/>
  <c r="U107" i="2"/>
  <c r="U108" i="2"/>
  <c r="U109" i="2"/>
  <c r="U110" i="2"/>
  <c r="U111" i="2"/>
  <c r="U112" i="2"/>
  <c r="U113" i="2"/>
  <c r="U114" i="2"/>
  <c r="U115" i="2"/>
  <c r="U116" i="2"/>
  <c r="U117" i="2"/>
  <c r="U118" i="2"/>
  <c r="U119" i="2"/>
  <c r="U120" i="2"/>
  <c r="U121" i="2"/>
  <c r="U122" i="2"/>
  <c r="U123" i="2"/>
  <c r="U124" i="2"/>
  <c r="U125"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T47" i="2"/>
  <c r="T48" i="2"/>
  <c r="T49" i="2"/>
  <c r="T50" i="2"/>
  <c r="T51" i="2"/>
  <c r="T52" i="2"/>
  <c r="T53" i="2"/>
  <c r="T54" i="2"/>
  <c r="T55" i="2"/>
  <c r="T56" i="2"/>
  <c r="T57" i="2"/>
  <c r="T58" i="2"/>
  <c r="T59" i="2"/>
  <c r="T60" i="2"/>
  <c r="T61" i="2"/>
  <c r="T62" i="2"/>
  <c r="T63" i="2"/>
  <c r="T64" i="2"/>
  <c r="T65" i="2"/>
  <c r="T66" i="2"/>
  <c r="T67" i="2"/>
  <c r="T68" i="2"/>
  <c r="T69" i="2"/>
  <c r="T70" i="2"/>
  <c r="T71" i="2"/>
  <c r="T72" i="2"/>
  <c r="T73" i="2"/>
  <c r="T74" i="2"/>
  <c r="T75" i="2"/>
  <c r="T76" i="2"/>
  <c r="T77" i="2"/>
  <c r="T78" i="2"/>
  <c r="T79" i="2"/>
  <c r="T80" i="2"/>
  <c r="T81" i="2"/>
  <c r="T82" i="2"/>
  <c r="T83" i="2"/>
  <c r="T84" i="2"/>
  <c r="T85" i="2"/>
  <c r="T86" i="2"/>
  <c r="T87" i="2"/>
  <c r="T88" i="2"/>
  <c r="T89" i="2"/>
  <c r="T90" i="2"/>
  <c r="T91" i="2"/>
  <c r="T92" i="2"/>
  <c r="T93" i="2"/>
  <c r="T94" i="2"/>
  <c r="S94" i="2" s="1"/>
  <c r="T95" i="2"/>
  <c r="S95" i="2" s="1"/>
  <c r="T96" i="2"/>
  <c r="S96" i="2" s="1"/>
  <c r="T97" i="2"/>
  <c r="S97" i="2" s="1"/>
  <c r="T98" i="2"/>
  <c r="S98" i="2" s="1"/>
  <c r="T99" i="2"/>
  <c r="S99" i="2" s="1"/>
  <c r="T100" i="2"/>
  <c r="S100" i="2" s="1"/>
  <c r="T101" i="2"/>
  <c r="S101" i="2" s="1"/>
  <c r="T102" i="2"/>
  <c r="S102" i="2" s="1"/>
  <c r="T103" i="2"/>
  <c r="S103" i="2" s="1"/>
  <c r="T104" i="2"/>
  <c r="S104" i="2" s="1"/>
  <c r="T105" i="2"/>
  <c r="S105" i="2" s="1"/>
  <c r="T106" i="2"/>
  <c r="S106" i="2" s="1"/>
  <c r="T107" i="2"/>
  <c r="S107" i="2" s="1"/>
  <c r="T108" i="2"/>
  <c r="S108" i="2" s="1"/>
  <c r="T109" i="2"/>
  <c r="S109" i="2" s="1"/>
  <c r="T110" i="2"/>
  <c r="S110" i="2" s="1"/>
  <c r="T111" i="2"/>
  <c r="S111" i="2" s="1"/>
  <c r="T112" i="2"/>
  <c r="S112" i="2" s="1"/>
  <c r="T113" i="2"/>
  <c r="S113" i="2" s="1"/>
  <c r="T114" i="2"/>
  <c r="S114" i="2" s="1"/>
  <c r="T115" i="2"/>
  <c r="S115" i="2" s="1"/>
  <c r="T116" i="2"/>
  <c r="S116" i="2" s="1"/>
  <c r="T117" i="2"/>
  <c r="S117" i="2" s="1"/>
  <c r="T118" i="2"/>
  <c r="S118" i="2" s="1"/>
  <c r="T119" i="2"/>
  <c r="S119" i="2" s="1"/>
  <c r="T120" i="2"/>
  <c r="S120" i="2" s="1"/>
  <c r="T121" i="2"/>
  <c r="S121" i="2" s="1"/>
  <c r="T122" i="2"/>
  <c r="S122" i="2" s="1"/>
  <c r="T123" i="2"/>
  <c r="S123" i="2" s="1"/>
  <c r="T124" i="2"/>
  <c r="T125" i="2"/>
  <c r="S125" i="2" s="1"/>
  <c r="S124" i="2"/>
  <c r="S10" i="2"/>
  <c r="S11" i="2"/>
  <c r="S12"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44" i="2"/>
  <c r="S45" i="2"/>
  <c r="S46" i="2"/>
  <c r="S47" i="2"/>
  <c r="S48" i="2"/>
  <c r="S49" i="2"/>
  <c r="S50" i="2"/>
  <c r="S51" i="2"/>
  <c r="S52" i="2"/>
  <c r="S53" i="2"/>
  <c r="S54" i="2"/>
  <c r="S55" i="2"/>
  <c r="S56" i="2"/>
  <c r="S57" i="2"/>
  <c r="S58" i="2"/>
  <c r="S59" i="2"/>
  <c r="S60" i="2"/>
  <c r="S61" i="2"/>
  <c r="S62" i="2"/>
  <c r="S63" i="2"/>
  <c r="S64" i="2"/>
  <c r="S65" i="2"/>
  <c r="S66" i="2"/>
  <c r="S67" i="2"/>
  <c r="S68" i="2"/>
  <c r="S69" i="2"/>
  <c r="S70" i="2"/>
  <c r="S71" i="2"/>
  <c r="S72" i="2"/>
  <c r="S73" i="2"/>
  <c r="S74" i="2"/>
  <c r="S75" i="2"/>
  <c r="S76" i="2"/>
  <c r="S77" i="2"/>
  <c r="S78" i="2"/>
  <c r="S79" i="2"/>
  <c r="S80" i="2"/>
  <c r="S81" i="2"/>
  <c r="S82" i="2"/>
  <c r="S83" i="2"/>
  <c r="S84" i="2"/>
  <c r="S85" i="2"/>
  <c r="S86" i="2"/>
  <c r="S87" i="2"/>
  <c r="S88" i="2"/>
  <c r="S89" i="2"/>
  <c r="S90" i="2"/>
  <c r="S91" i="2"/>
  <c r="S92" i="2"/>
  <c r="S93"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R47" i="2"/>
  <c r="R48" i="2"/>
  <c r="R49" i="2"/>
  <c r="R50" i="2"/>
  <c r="R51" i="2"/>
  <c r="R52" i="2"/>
  <c r="R53" i="2"/>
  <c r="R54" i="2"/>
  <c r="R55" i="2"/>
  <c r="R56" i="2"/>
  <c r="R57" i="2"/>
  <c r="R58" i="2"/>
  <c r="R59" i="2"/>
  <c r="R60" i="2"/>
  <c r="R61" i="2"/>
  <c r="R62" i="2"/>
  <c r="R63" i="2"/>
  <c r="R64" i="2"/>
  <c r="R65" i="2"/>
  <c r="R66" i="2"/>
  <c r="R67" i="2"/>
  <c r="R68" i="2"/>
  <c r="R69" i="2"/>
  <c r="R70" i="2"/>
  <c r="R71" i="2"/>
  <c r="R72" i="2"/>
  <c r="R73" i="2"/>
  <c r="R74" i="2"/>
  <c r="R75" i="2"/>
  <c r="R76" i="2"/>
  <c r="R77" i="2"/>
  <c r="R78" i="2"/>
  <c r="R79" i="2"/>
  <c r="R80" i="2"/>
  <c r="R81" i="2"/>
  <c r="R82" i="2"/>
  <c r="R83" i="2"/>
  <c r="R84" i="2"/>
  <c r="R85" i="2"/>
  <c r="R86" i="2"/>
  <c r="R87" i="2"/>
  <c r="R88" i="2"/>
  <c r="R89" i="2"/>
  <c r="R90" i="2"/>
  <c r="R91" i="2"/>
  <c r="R92" i="2"/>
  <c r="R93" i="2"/>
  <c r="R94" i="2"/>
  <c r="R95" i="2"/>
  <c r="R96" i="2"/>
  <c r="R97" i="2"/>
  <c r="R98" i="2"/>
  <c r="R99" i="2"/>
  <c r="R100" i="2"/>
  <c r="R101" i="2"/>
  <c r="R102" i="2"/>
  <c r="R103" i="2"/>
  <c r="R104" i="2"/>
  <c r="R105" i="2"/>
  <c r="R106" i="2"/>
  <c r="R107" i="2"/>
  <c r="R108" i="2"/>
  <c r="R109" i="2"/>
  <c r="R110" i="2"/>
  <c r="R111" i="2"/>
  <c r="R112" i="2"/>
  <c r="R113" i="2"/>
  <c r="R114" i="2"/>
  <c r="R115" i="2"/>
  <c r="R116" i="2"/>
  <c r="R117" i="2"/>
  <c r="R118" i="2"/>
  <c r="R119" i="2"/>
  <c r="R120" i="2"/>
  <c r="R121" i="2"/>
  <c r="R122" i="2"/>
  <c r="R123" i="2"/>
  <c r="R124" i="2"/>
  <c r="R125" i="2"/>
  <c r="Q10" i="2" a="1"/>
  <c r="Q10" i="2"/>
  <c r="Q11" i="2" a="1"/>
  <c r="Q11" i="2"/>
  <c r="Q12" i="2" a="1"/>
  <c r="Q12" i="2"/>
  <c r="Q13" i="2" a="1"/>
  <c r="Q13" i="2" s="1"/>
  <c r="Q14" i="2" a="1"/>
  <c r="Q14" i="2" s="1"/>
  <c r="Q15" i="2" a="1"/>
  <c r="Q15" i="2" s="1"/>
  <c r="Q16" i="2" a="1"/>
  <c r="Q16" i="2" s="1"/>
  <c r="Q17" i="2" a="1"/>
  <c r="Q17" i="2"/>
  <c r="Q18" i="2" a="1"/>
  <c r="Q18" i="2" s="1"/>
  <c r="Q19" i="2" a="1"/>
  <c r="Q19" i="2" s="1"/>
  <c r="Q20" i="2" a="1"/>
  <c r="Q20" i="2" s="1"/>
  <c r="Q21" i="2" a="1"/>
  <c r="Q21" i="2" s="1"/>
  <c r="Q22" i="2" a="1"/>
  <c r="Q22" i="2" s="1"/>
  <c r="Q23" i="2" a="1"/>
  <c r="Q23" i="2" s="1"/>
  <c r="Q24" i="2" a="1"/>
  <c r="Q24" i="2" s="1"/>
  <c r="Q25" i="2" a="1"/>
  <c r="Q25" i="2" s="1"/>
  <c r="Q26" i="2" a="1"/>
  <c r="Q26" i="2" s="1"/>
  <c r="Q27" i="2" a="1"/>
  <c r="Q27" i="2" s="1"/>
  <c r="Q28" i="2" a="1"/>
  <c r="Q28" i="2" s="1"/>
  <c r="Q29" i="2" a="1"/>
  <c r="Q29" i="2" s="1"/>
  <c r="Q30" i="2" a="1"/>
  <c r="Q30" i="2" s="1"/>
  <c r="Q31" i="2" a="1"/>
  <c r="Q31" i="2" s="1"/>
  <c r="Q32" i="2" a="1"/>
  <c r="Q32" i="2" s="1"/>
  <c r="Q33" i="2" a="1"/>
  <c r="Q33" i="2" s="1"/>
  <c r="Q34" i="2" a="1"/>
  <c r="Q34" i="2" s="1"/>
  <c r="Q35" i="2" a="1"/>
  <c r="Q35" i="2" s="1"/>
  <c r="Q36" i="2" a="1"/>
  <c r="Q36" i="2" s="1"/>
  <c r="Q37" i="2" a="1"/>
  <c r="Q37" i="2" s="1"/>
  <c r="Q38" i="2" a="1"/>
  <c r="Q38" i="2" s="1"/>
  <c r="Q39" i="2" a="1"/>
  <c r="Q39" i="2" s="1"/>
  <c r="Q40" i="2" a="1"/>
  <c r="Q40" i="2" s="1"/>
  <c r="Q41" i="2" a="1"/>
  <c r="Q41" i="2" s="1"/>
  <c r="Q42" i="2" a="1"/>
  <c r="Q42" i="2" s="1"/>
  <c r="Q43" i="2" a="1"/>
  <c r="Q43" i="2" s="1"/>
  <c r="Q44" i="2" a="1"/>
  <c r="Q44" i="2" s="1"/>
  <c r="Q45" i="2" a="1"/>
  <c r="Q45" i="2" s="1"/>
  <c r="Q46" i="2" a="1"/>
  <c r="Q46" i="2" s="1"/>
  <c r="Q47" i="2" a="1"/>
  <c r="Q47" i="2" s="1"/>
  <c r="Q48" i="2" a="1"/>
  <c r="Q48" i="2" s="1"/>
  <c r="Q49" i="2" a="1"/>
  <c r="Q49" i="2" s="1"/>
  <c r="Q50" i="2" a="1"/>
  <c r="Q50" i="2" s="1"/>
  <c r="Q51" i="2" a="1"/>
  <c r="Q51" i="2" s="1"/>
  <c r="Q52" i="2" a="1"/>
  <c r="Q52" i="2" s="1"/>
  <c r="Q53" i="2" a="1"/>
  <c r="Q53" i="2" s="1"/>
  <c r="Q54" i="2" a="1"/>
  <c r="Q54" i="2" s="1"/>
  <c r="Q55" i="2" a="1"/>
  <c r="Q55" i="2" s="1"/>
  <c r="Q56" i="2" a="1"/>
  <c r="Q56" i="2" s="1"/>
  <c r="Q57" i="2" a="1"/>
  <c r="Q57" i="2" s="1"/>
  <c r="Q58" i="2" a="1"/>
  <c r="Q58" i="2" s="1"/>
  <c r="Q59" i="2" a="1"/>
  <c r="Q59" i="2" s="1"/>
  <c r="Q60" i="2" a="1"/>
  <c r="Q60" i="2" s="1"/>
  <c r="Q61" i="2" a="1"/>
  <c r="Q61" i="2" s="1"/>
  <c r="Q62" i="2" a="1"/>
  <c r="Q62" i="2" s="1"/>
  <c r="Q63" i="2" a="1"/>
  <c r="Q63" i="2" s="1"/>
  <c r="Q64" i="2" a="1"/>
  <c r="Q64" i="2" s="1"/>
  <c r="Q65" i="2" a="1"/>
  <c r="Q65" i="2" s="1"/>
  <c r="Q66" i="2" a="1"/>
  <c r="Q66" i="2" s="1"/>
  <c r="Q67" i="2" a="1"/>
  <c r="Q67" i="2" s="1"/>
  <c r="Q68" i="2" a="1"/>
  <c r="Q68" i="2" s="1"/>
  <c r="Q69" i="2" a="1"/>
  <c r="Q69" i="2" s="1"/>
  <c r="Q70" i="2" a="1"/>
  <c r="Q70" i="2" s="1"/>
  <c r="Q71" i="2" a="1"/>
  <c r="Q71" i="2" s="1"/>
  <c r="Q72" i="2" a="1"/>
  <c r="Q72" i="2" s="1"/>
  <c r="Q73" i="2" a="1"/>
  <c r="Q73" i="2" s="1"/>
  <c r="Q74" i="2" a="1"/>
  <c r="Q74" i="2" s="1"/>
  <c r="Q75" i="2" a="1"/>
  <c r="Q75" i="2" s="1"/>
  <c r="Q76" i="2" a="1"/>
  <c r="Q76" i="2" s="1"/>
  <c r="Q77" i="2" a="1"/>
  <c r="Q77" i="2" s="1"/>
  <c r="Q78" i="2" a="1"/>
  <c r="Q78" i="2" s="1"/>
  <c r="Q79" i="2" a="1"/>
  <c r="Q79" i="2" s="1"/>
  <c r="Q80" i="2" a="1"/>
  <c r="Q80" i="2" s="1"/>
  <c r="Q81" i="2" a="1"/>
  <c r="Q81" i="2" s="1"/>
  <c r="Q82" i="2" a="1"/>
  <c r="Q82" i="2" s="1"/>
  <c r="Q83" i="2" a="1"/>
  <c r="Q83" i="2" s="1"/>
  <c r="Q84" i="2" a="1"/>
  <c r="Q84" i="2" s="1"/>
  <c r="Q85" i="2" a="1"/>
  <c r="Q85" i="2" s="1"/>
  <c r="Q86" i="2" a="1"/>
  <c r="Q86" i="2" s="1"/>
  <c r="Q87" i="2" a="1"/>
  <c r="Q87" i="2" s="1"/>
  <c r="Q88" i="2" a="1"/>
  <c r="Q88" i="2" s="1"/>
  <c r="Q89" i="2" a="1"/>
  <c r="Q89" i="2" s="1"/>
  <c r="Q90" i="2" a="1"/>
  <c r="Q90" i="2" s="1"/>
  <c r="Q91" i="2" a="1"/>
  <c r="Q91" i="2" s="1"/>
  <c r="Q92" i="2" a="1"/>
  <c r="Q92" i="2" s="1"/>
  <c r="Q93" i="2" a="1"/>
  <c r="Q93" i="2" s="1"/>
  <c r="Q94" i="2" a="1"/>
  <c r="Q94" i="2" s="1"/>
  <c r="Q95" i="2" a="1"/>
  <c r="Q95" i="2" s="1"/>
  <c r="Q96" i="2" a="1"/>
  <c r="Q96" i="2" s="1"/>
  <c r="Q97" i="2" a="1"/>
  <c r="Q97" i="2" s="1"/>
  <c r="Q98" i="2" a="1"/>
  <c r="Q98" i="2" s="1"/>
  <c r="Q99" i="2" a="1"/>
  <c r="Q99" i="2" s="1"/>
  <c r="Q100" i="2" a="1"/>
  <c r="Q100" i="2" s="1"/>
  <c r="Q101" i="2" a="1"/>
  <c r="Q101" i="2" s="1"/>
  <c r="Q102" i="2" a="1"/>
  <c r="Q102" i="2" s="1"/>
  <c r="Q103" i="2" a="1"/>
  <c r="Q103" i="2" s="1"/>
  <c r="Q104" i="2" a="1"/>
  <c r="Q104" i="2" s="1"/>
  <c r="Q105" i="2" a="1"/>
  <c r="Q105" i="2" s="1"/>
  <c r="Q106" i="2" a="1"/>
  <c r="Q106" i="2" s="1"/>
  <c r="Q107" i="2" a="1"/>
  <c r="Q107" i="2" s="1"/>
  <c r="Q108" i="2" a="1"/>
  <c r="Q108" i="2" s="1"/>
  <c r="Q109" i="2" a="1"/>
  <c r="Q109" i="2" s="1"/>
  <c r="Q110" i="2" a="1"/>
  <c r="Q110" i="2" s="1"/>
  <c r="Q111" i="2" a="1"/>
  <c r="Q111" i="2" s="1"/>
  <c r="Q112" i="2" a="1"/>
  <c r="Q112" i="2" s="1"/>
  <c r="Q113" i="2" a="1"/>
  <c r="Q113" i="2" s="1"/>
  <c r="Q114" i="2" a="1"/>
  <c r="Q114" i="2" s="1"/>
  <c r="Q115" i="2" a="1"/>
  <c r="Q115" i="2" s="1"/>
  <c r="Q116" i="2" a="1"/>
  <c r="Q116" i="2" s="1"/>
  <c r="Q117" i="2" a="1"/>
  <c r="Q117" i="2" s="1"/>
  <c r="Q118" i="2" a="1"/>
  <c r="Q118" i="2" s="1"/>
  <c r="Q119" i="2" a="1"/>
  <c r="Q119" i="2" s="1"/>
  <c r="Q120" i="2" a="1"/>
  <c r="Q120" i="2" s="1"/>
  <c r="Q121" i="2" a="1"/>
  <c r="Q121" i="2" s="1"/>
  <c r="Q122" i="2" a="1"/>
  <c r="Q122" i="2" s="1"/>
  <c r="Q123" i="2" a="1"/>
  <c r="Q123" i="2" s="1"/>
  <c r="Q124" i="2" a="1"/>
  <c r="Q124" i="2" s="1"/>
  <c r="Q125" i="2" a="1"/>
  <c r="Q125" i="2" s="1"/>
  <c r="P125" i="2"/>
  <c r="O125" i="2"/>
  <c r="M125" i="2"/>
  <c r="P10" i="2"/>
  <c r="O10" i="2"/>
  <c r="M10" i="2"/>
  <c r="AD7" i="24"/>
  <c r="AC7" i="24"/>
  <c r="AB7" i="24"/>
  <c r="AA7" i="24"/>
  <c r="AD6" i="24"/>
  <c r="AC6" i="24"/>
  <c r="AB6" i="24"/>
  <c r="AA6" i="24"/>
  <c r="AA8" i="24" a="1"/>
  <c r="AA8" i="24" s="1"/>
  <c r="AB8" i="24" a="1"/>
  <c r="AB8" i="24" s="1"/>
  <c r="AC8" i="24" a="1"/>
  <c r="AC8" i="24" s="1"/>
  <c r="AD8" i="24" a="1"/>
  <c r="AD8" i="24" s="1"/>
  <c r="Z8" i="24" a="1"/>
  <c r="Z8" i="24" s="1"/>
  <c r="AA2" i="24"/>
  <c r="Z2" i="24"/>
  <c r="Y7" i="24"/>
  <c r="Y6" i="24"/>
  <c r="AA127" i="24"/>
  <c r="AA65" i="24"/>
  <c r="Z3" i="24"/>
  <c r="Z11" i="2"/>
  <c r="Z13" i="2"/>
  <c r="Z20" i="2"/>
  <c r="O11" i="2"/>
  <c r="P11" i="2"/>
  <c r="O12" i="2"/>
  <c r="P12" i="2"/>
  <c r="O13" i="2"/>
  <c r="P13" i="2"/>
  <c r="O14" i="2"/>
  <c r="P14" i="2"/>
  <c r="O15" i="2"/>
  <c r="P15" i="2"/>
  <c r="O16" i="2"/>
  <c r="P16" i="2"/>
  <c r="O17" i="2"/>
  <c r="P17" i="2"/>
  <c r="O18" i="2"/>
  <c r="P18" i="2"/>
  <c r="O19" i="2"/>
  <c r="P19" i="2"/>
  <c r="O20" i="2"/>
  <c r="P20" i="2"/>
  <c r="O21" i="2"/>
  <c r="P21" i="2"/>
  <c r="O22" i="2"/>
  <c r="P22" i="2"/>
  <c r="O23" i="2"/>
  <c r="P23" i="2"/>
  <c r="O24" i="2"/>
  <c r="P24" i="2"/>
  <c r="O25" i="2"/>
  <c r="P25" i="2"/>
  <c r="O26" i="2"/>
  <c r="P26" i="2"/>
  <c r="O27" i="2"/>
  <c r="P27" i="2"/>
  <c r="O28" i="2"/>
  <c r="P28" i="2"/>
  <c r="O29" i="2"/>
  <c r="P29" i="2"/>
  <c r="O30" i="2"/>
  <c r="P30" i="2"/>
  <c r="M12" i="2"/>
  <c r="M13" i="2"/>
  <c r="M14" i="2"/>
  <c r="M15" i="2"/>
  <c r="M16" i="2"/>
  <c r="M17" i="2"/>
  <c r="M18" i="2"/>
  <c r="M19" i="2"/>
  <c r="M20" i="2"/>
  <c r="M21" i="2"/>
  <c r="M22" i="2"/>
  <c r="M23" i="2"/>
  <c r="M24" i="2"/>
  <c r="M25" i="2"/>
  <c r="M26" i="2"/>
  <c r="M27" i="2"/>
  <c r="M28" i="2"/>
  <c r="M29" i="2"/>
  <c r="M30" i="2"/>
  <c r="M11" i="2"/>
  <c r="P124" i="2"/>
  <c r="O124" i="2"/>
  <c r="N124" i="2"/>
  <c r="M124" i="2"/>
  <c r="P123" i="2"/>
  <c r="O123" i="2"/>
  <c r="N123" i="2"/>
  <c r="M123" i="2"/>
  <c r="P122" i="2"/>
  <c r="O122" i="2"/>
  <c r="N122" i="2"/>
  <c r="M122" i="2"/>
  <c r="P121" i="2"/>
  <c r="O121" i="2"/>
  <c r="N121" i="2"/>
  <c r="M121" i="2"/>
  <c r="P120" i="2"/>
  <c r="O120" i="2"/>
  <c r="N120" i="2"/>
  <c r="M120" i="2"/>
  <c r="P119" i="2"/>
  <c r="O119" i="2"/>
  <c r="N119" i="2"/>
  <c r="M119" i="2"/>
  <c r="P118" i="2"/>
  <c r="O118" i="2"/>
  <c r="N118" i="2"/>
  <c r="M118" i="2"/>
  <c r="P117" i="2"/>
  <c r="O117" i="2"/>
  <c r="N117" i="2"/>
  <c r="M117" i="2"/>
  <c r="P116" i="2"/>
  <c r="O116" i="2"/>
  <c r="N116" i="2"/>
  <c r="M116" i="2"/>
  <c r="P115" i="2"/>
  <c r="O115" i="2"/>
  <c r="N115" i="2"/>
  <c r="M115" i="2"/>
  <c r="P114" i="2"/>
  <c r="O114" i="2"/>
  <c r="N114" i="2"/>
  <c r="M114" i="2"/>
  <c r="P113" i="2"/>
  <c r="O113" i="2"/>
  <c r="N113" i="2"/>
  <c r="M113" i="2"/>
  <c r="P112" i="2"/>
  <c r="O112" i="2"/>
  <c r="N112" i="2"/>
  <c r="M112" i="2"/>
  <c r="P111" i="2"/>
  <c r="O111" i="2"/>
  <c r="N111" i="2"/>
  <c r="M111" i="2"/>
  <c r="P110" i="2"/>
  <c r="O110" i="2"/>
  <c r="N110" i="2"/>
  <c r="M110" i="2"/>
  <c r="P109" i="2"/>
  <c r="O109" i="2"/>
  <c r="N109" i="2"/>
  <c r="M109" i="2"/>
  <c r="P108" i="2"/>
  <c r="O108" i="2"/>
  <c r="N108" i="2"/>
  <c r="M108" i="2"/>
  <c r="P107" i="2"/>
  <c r="O107" i="2"/>
  <c r="N107" i="2"/>
  <c r="M107" i="2"/>
  <c r="P106" i="2"/>
  <c r="O106" i="2"/>
  <c r="N106" i="2"/>
  <c r="M106" i="2"/>
  <c r="P105" i="2"/>
  <c r="O105" i="2"/>
  <c r="N105" i="2"/>
  <c r="M105" i="2"/>
  <c r="P104" i="2"/>
  <c r="O104" i="2"/>
  <c r="N104" i="2"/>
  <c r="M104" i="2"/>
  <c r="P103" i="2"/>
  <c r="O103" i="2"/>
  <c r="N103" i="2"/>
  <c r="M103" i="2"/>
  <c r="P102" i="2"/>
  <c r="O102" i="2"/>
  <c r="N102" i="2"/>
  <c r="M102" i="2"/>
  <c r="P101" i="2"/>
  <c r="O101" i="2"/>
  <c r="N101" i="2"/>
  <c r="M101" i="2"/>
  <c r="P100" i="2"/>
  <c r="O100" i="2"/>
  <c r="N100" i="2"/>
  <c r="M100" i="2"/>
  <c r="P99" i="2"/>
  <c r="O99" i="2"/>
  <c r="N99" i="2"/>
  <c r="M99" i="2"/>
  <c r="P98" i="2"/>
  <c r="O98" i="2"/>
  <c r="N98" i="2"/>
  <c r="M98" i="2"/>
  <c r="P97" i="2"/>
  <c r="O97" i="2"/>
  <c r="N97" i="2"/>
  <c r="M97" i="2"/>
  <c r="P96" i="2"/>
  <c r="O96" i="2"/>
  <c r="N96" i="2"/>
  <c r="M96" i="2"/>
  <c r="P95" i="2"/>
  <c r="O95" i="2"/>
  <c r="N95" i="2"/>
  <c r="M95" i="2"/>
  <c r="P94" i="2"/>
  <c r="O94" i="2"/>
  <c r="N94" i="2"/>
  <c r="M94" i="2"/>
  <c r="P93" i="2"/>
  <c r="O93" i="2"/>
  <c r="N93" i="2"/>
  <c r="M93" i="2"/>
  <c r="P92" i="2"/>
  <c r="O92" i="2"/>
  <c r="N92" i="2"/>
  <c r="M92" i="2"/>
  <c r="P91" i="2"/>
  <c r="O91" i="2"/>
  <c r="N91" i="2"/>
  <c r="M91" i="2"/>
  <c r="P90" i="2"/>
  <c r="O90" i="2"/>
  <c r="N90" i="2"/>
  <c r="M90" i="2"/>
  <c r="P89" i="2"/>
  <c r="O89" i="2"/>
  <c r="N89" i="2"/>
  <c r="M89" i="2"/>
  <c r="P88" i="2"/>
  <c r="O88" i="2"/>
  <c r="N88" i="2"/>
  <c r="M88" i="2"/>
  <c r="P87" i="2"/>
  <c r="O87" i="2"/>
  <c r="N87" i="2"/>
  <c r="M87" i="2"/>
  <c r="P86" i="2"/>
  <c r="O86" i="2"/>
  <c r="N86" i="2"/>
  <c r="M86" i="2"/>
  <c r="P85" i="2"/>
  <c r="O85" i="2"/>
  <c r="N85" i="2"/>
  <c r="M85" i="2"/>
  <c r="P84" i="2"/>
  <c r="O84" i="2"/>
  <c r="N84" i="2"/>
  <c r="M84" i="2"/>
  <c r="P83" i="2"/>
  <c r="O83" i="2"/>
  <c r="N83" i="2"/>
  <c r="M83" i="2"/>
  <c r="P82" i="2"/>
  <c r="O82" i="2"/>
  <c r="N82" i="2"/>
  <c r="M82" i="2"/>
  <c r="P81" i="2"/>
  <c r="O81" i="2"/>
  <c r="N81" i="2"/>
  <c r="M81" i="2"/>
  <c r="P80" i="2"/>
  <c r="O80" i="2"/>
  <c r="N80" i="2"/>
  <c r="M80" i="2"/>
  <c r="P79" i="2"/>
  <c r="O79" i="2"/>
  <c r="N79" i="2"/>
  <c r="M79" i="2"/>
  <c r="P78" i="2"/>
  <c r="O78" i="2"/>
  <c r="N78" i="2"/>
  <c r="M78" i="2"/>
  <c r="P77" i="2"/>
  <c r="O77" i="2"/>
  <c r="N77" i="2"/>
  <c r="M77" i="2"/>
  <c r="P76" i="2"/>
  <c r="O76" i="2"/>
  <c r="N76" i="2"/>
  <c r="M76" i="2"/>
  <c r="P75" i="2"/>
  <c r="O75" i="2"/>
  <c r="N75" i="2"/>
  <c r="M75" i="2"/>
  <c r="P74" i="2"/>
  <c r="O74" i="2"/>
  <c r="N74" i="2"/>
  <c r="M74" i="2"/>
  <c r="P73" i="2"/>
  <c r="O73" i="2"/>
  <c r="N73" i="2"/>
  <c r="M73" i="2"/>
  <c r="P72" i="2"/>
  <c r="O72" i="2"/>
  <c r="N72" i="2"/>
  <c r="M72" i="2"/>
  <c r="P71" i="2"/>
  <c r="O71" i="2"/>
  <c r="N71" i="2"/>
  <c r="M71" i="2"/>
  <c r="P70" i="2"/>
  <c r="O70" i="2"/>
  <c r="N70" i="2"/>
  <c r="M70" i="2"/>
  <c r="P69" i="2"/>
  <c r="O69" i="2"/>
  <c r="N69" i="2"/>
  <c r="M69" i="2"/>
  <c r="P68" i="2"/>
  <c r="O68" i="2"/>
  <c r="N68" i="2"/>
  <c r="M68" i="2"/>
  <c r="P67" i="2"/>
  <c r="O67" i="2"/>
  <c r="N67" i="2"/>
  <c r="M67" i="2"/>
  <c r="P66" i="2"/>
  <c r="O66" i="2"/>
  <c r="N66" i="2"/>
  <c r="M66" i="2"/>
  <c r="P65" i="2"/>
  <c r="O65" i="2"/>
  <c r="N65" i="2"/>
  <c r="M65" i="2"/>
  <c r="P64" i="2"/>
  <c r="O64" i="2"/>
  <c r="N64" i="2"/>
  <c r="M64" i="2"/>
  <c r="P63" i="2"/>
  <c r="O63" i="2"/>
  <c r="N63" i="2"/>
  <c r="M63" i="2"/>
  <c r="P62" i="2"/>
  <c r="O62" i="2"/>
  <c r="N62" i="2"/>
  <c r="M62" i="2"/>
  <c r="P61" i="2"/>
  <c r="O61" i="2"/>
  <c r="N61" i="2"/>
  <c r="M61" i="2"/>
  <c r="P60" i="2"/>
  <c r="O60" i="2"/>
  <c r="N60" i="2"/>
  <c r="M60" i="2"/>
  <c r="P59" i="2"/>
  <c r="O59" i="2"/>
  <c r="N59" i="2"/>
  <c r="M59" i="2"/>
  <c r="P58" i="2"/>
  <c r="O58" i="2"/>
  <c r="N58" i="2"/>
  <c r="M58" i="2"/>
  <c r="P57" i="2"/>
  <c r="O57" i="2"/>
  <c r="N57" i="2"/>
  <c r="M57" i="2"/>
  <c r="P56" i="2"/>
  <c r="O56" i="2"/>
  <c r="N56" i="2"/>
  <c r="M56" i="2"/>
  <c r="P55" i="2"/>
  <c r="O55" i="2"/>
  <c r="N55" i="2"/>
  <c r="M55" i="2"/>
  <c r="P54" i="2"/>
  <c r="O54" i="2"/>
  <c r="N54" i="2"/>
  <c r="M54" i="2"/>
  <c r="P32" i="2"/>
  <c r="P33" i="2"/>
  <c r="P34" i="2"/>
  <c r="P35" i="2"/>
  <c r="P36" i="2"/>
  <c r="P37" i="2"/>
  <c r="P38" i="2"/>
  <c r="P39" i="2"/>
  <c r="P40" i="2"/>
  <c r="P41" i="2"/>
  <c r="P42" i="2"/>
  <c r="P43" i="2"/>
  <c r="P44" i="2"/>
  <c r="P45" i="2"/>
  <c r="P46" i="2"/>
  <c r="P47" i="2"/>
  <c r="P48" i="2"/>
  <c r="P49" i="2"/>
  <c r="P50" i="2"/>
  <c r="P51" i="2"/>
  <c r="P52" i="2"/>
  <c r="P53" i="2"/>
  <c r="P31" i="2"/>
  <c r="M31" i="2"/>
  <c r="M32" i="2"/>
  <c r="M33" i="2"/>
  <c r="M34" i="2"/>
  <c r="M35" i="2"/>
  <c r="M36" i="2"/>
  <c r="M37" i="2"/>
  <c r="M38" i="2"/>
  <c r="M39" i="2"/>
  <c r="M40" i="2"/>
  <c r="M41" i="2"/>
  <c r="M42" i="2"/>
  <c r="M43" i="2"/>
  <c r="M44" i="2"/>
  <c r="M45" i="2"/>
  <c r="M46" i="2"/>
  <c r="M47" i="2"/>
  <c r="M48" i="2"/>
  <c r="M49" i="2"/>
  <c r="M50" i="2"/>
  <c r="M51" i="2"/>
  <c r="M52" i="2"/>
  <c r="M53" i="2"/>
  <c r="O32" i="2"/>
  <c r="O33" i="2"/>
  <c r="O34" i="2"/>
  <c r="O35" i="2"/>
  <c r="O36" i="2"/>
  <c r="O37" i="2"/>
  <c r="O38" i="2"/>
  <c r="O39" i="2"/>
  <c r="O40" i="2"/>
  <c r="O41" i="2"/>
  <c r="O42" i="2"/>
  <c r="O43" i="2"/>
  <c r="O44" i="2"/>
  <c r="O45" i="2"/>
  <c r="O46" i="2"/>
  <c r="O47" i="2"/>
  <c r="O48" i="2"/>
  <c r="O49" i="2"/>
  <c r="O50" i="2"/>
  <c r="O51" i="2"/>
  <c r="O52" i="2"/>
  <c r="O53" i="2"/>
  <c r="O31" i="2"/>
  <c r="N32" i="2" l="1"/>
  <c r="N33" i="2"/>
  <c r="N34" i="2"/>
  <c r="N35" i="2"/>
  <c r="N36" i="2"/>
  <c r="N37" i="2"/>
  <c r="N38" i="2"/>
  <c r="N39" i="2"/>
  <c r="N40" i="2"/>
  <c r="N41" i="2"/>
  <c r="N42" i="2"/>
  <c r="N43" i="2"/>
  <c r="N44" i="2"/>
  <c r="N45" i="2"/>
  <c r="N46" i="2"/>
  <c r="N47" i="2"/>
  <c r="N48" i="2"/>
  <c r="N49" i="2"/>
  <c r="N50" i="2"/>
  <c r="N51" i="2"/>
  <c r="N52" i="2"/>
  <c r="N53" i="2"/>
  <c r="N31" i="2"/>
  <c r="Z10" i="2" l="1"/>
  <c r="Z12" i="2"/>
  <c r="Z14" i="2"/>
  <c r="Z15" i="2"/>
  <c r="Z16" i="2"/>
  <c r="Z17" i="2"/>
  <c r="Z18" i="2"/>
  <c r="Z19" i="2"/>
  <c r="Z21" i="2"/>
  <c r="Z22" i="2"/>
  <c r="Z23" i="2"/>
  <c r="Z24" i="2"/>
  <c r="Z25" i="2"/>
  <c r="Z26" i="2"/>
  <c r="Z27" i="2"/>
  <c r="Z28" i="2"/>
  <c r="Z29" i="2"/>
  <c r="Z30" i="2"/>
  <c r="Z124" i="2"/>
  <c r="Z123" i="2"/>
  <c r="Z122" i="2"/>
  <c r="Z121" i="2"/>
  <c r="Z120" i="2"/>
  <c r="Z119" i="2"/>
  <c r="Z118" i="2"/>
  <c r="Z117" i="2"/>
  <c r="Z116" i="2"/>
  <c r="Z115" i="2"/>
  <c r="Z114" i="2"/>
  <c r="Z113" i="2"/>
  <c r="Z112" i="2"/>
  <c r="Z111" i="2"/>
  <c r="Z110" i="2"/>
  <c r="Z109" i="2"/>
  <c r="Z108" i="2"/>
  <c r="Z107" i="2"/>
  <c r="Z106" i="2"/>
  <c r="Z105" i="2"/>
  <c r="Z104" i="2"/>
  <c r="Z103" i="2"/>
  <c r="Z102" i="2"/>
  <c r="Z101" i="2"/>
  <c r="Z100" i="2"/>
  <c r="Z99" i="2"/>
  <c r="Z98" i="2"/>
  <c r="Z97" i="2"/>
  <c r="Z96" i="2"/>
  <c r="Z95" i="2"/>
  <c r="Z94" i="2"/>
  <c r="Z93" i="2"/>
  <c r="Z92" i="2"/>
  <c r="Z91" i="2"/>
  <c r="Z90" i="2"/>
  <c r="Z89" i="2"/>
  <c r="Z88" i="2"/>
  <c r="Z87" i="2"/>
  <c r="Z86" i="2"/>
  <c r="Z85" i="2"/>
  <c r="Z84" i="2"/>
  <c r="Z83" i="2"/>
  <c r="Z82" i="2"/>
  <c r="Z81" i="2"/>
  <c r="Z80" i="2"/>
  <c r="Z79" i="2"/>
  <c r="Z78" i="2"/>
  <c r="Z77" i="2"/>
  <c r="Z76" i="2"/>
  <c r="Z75" i="2"/>
  <c r="Z74" i="2"/>
  <c r="Z73" i="2"/>
  <c r="Z72" i="2"/>
  <c r="Z71" i="2"/>
  <c r="Z70" i="2"/>
  <c r="Z69" i="2"/>
  <c r="Z68" i="2"/>
  <c r="Z67" i="2"/>
  <c r="Z66" i="2"/>
  <c r="Z65" i="2"/>
  <c r="Z64" i="2"/>
  <c r="Z63" i="2"/>
  <c r="Z62" i="2"/>
  <c r="Z61" i="2"/>
  <c r="Z60" i="2"/>
  <c r="Z59" i="2"/>
  <c r="Z58" i="2"/>
  <c r="Z57" i="2"/>
  <c r="Z56" i="2"/>
  <c r="Z55" i="2"/>
  <c r="Z54" i="2"/>
  <c r="Z43" i="2"/>
  <c r="Z42" i="2"/>
  <c r="Z53" i="2"/>
  <c r="Z41" i="2"/>
  <c r="Z52" i="2"/>
  <c r="Z40" i="2"/>
  <c r="Z51" i="2"/>
  <c r="Z39" i="2"/>
  <c r="Z50" i="2"/>
  <c r="Z38" i="2"/>
  <c r="Z49" i="2"/>
  <c r="Z37" i="2"/>
  <c r="Z48" i="2"/>
  <c r="Z36" i="2"/>
  <c r="Z47" i="2"/>
  <c r="Z35" i="2"/>
  <c r="Z34" i="2"/>
  <c r="Z46" i="2"/>
  <c r="Z32" i="2"/>
  <c r="Z45" i="2" l="1"/>
  <c r="Z33" i="2"/>
  <c r="Z44" i="2"/>
  <c r="Z31"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tc={932558DE-7E13-45C9-8851-C09609C7D171}</author>
    <author>tc={B8A4EC3D-5CF5-4363-8C79-CD156AD8AFBD}</author>
    <author>tc={D29AD864-56D5-46C0-AE02-4A262CE53FDE}</author>
    <author>tc={71A8D179-9363-4FF1-95EB-4FC87F611843}</author>
    <author>tc={6F171A4F-BD30-4CD1-8BC9-F048716B1A03}</author>
  </authors>
  <commentList>
    <comment ref="L6" authorId="0" shapeId="0" xr:uid="{932558DE-7E13-45C9-8851-C09609C7D171}">
      <text>
        <t>[Threaded comment]
Your version of Excel allows you to read this threaded comment; however, any edits to it will get removed if the file is opened in a newer version of Excel. Learn more: https://go.microsoft.com/fwlink/?linkid=870924
Comment:
    Complex tripping due to Grid Fault</t>
      </text>
    </comment>
    <comment ref="R6" authorId="1" shapeId="0" xr:uid="{B8A4EC3D-5CF5-4363-8C79-CD156AD8AFBD}">
      <text>
        <t xml:space="preserve">[Threaded comment]
Your version of Excel allows you to read this threaded comment; however, any edits to it will get removed if the file is opened in a newer version of Excel. Learn more: https://go.microsoft.com/fwlink/?linkid=870924
Comment:
    Tripped on false fire alarm in zone 2 </t>
      </text>
    </comment>
    <comment ref="F8" authorId="2" shapeId="0" xr:uid="{D29AD864-56D5-46C0-AE02-4A262CE53FDE}">
      <text>
        <t>[Threaded comment]
Your version of Excel allows you to read this threaded comment; however, any edits to it will get removed if the file is opened in a newer version of Excel. Learn more: https://go.microsoft.com/fwlink/?linkid=870924
Comment:
    INLET AIR FILTER REPLACEMENT</t>
      </text>
    </comment>
    <comment ref="F11" authorId="3" shapeId="0" xr:uid="{71A8D179-9363-4FF1-95EB-4FC87F611843}">
      <text>
        <t>[Threaded comment]
Your version of Excel allows you to read this threaded comment; however, any edits to it will get removed if the file is opened in a newer version of Excel. Learn more: https://go.microsoft.com/fwlink/?linkid=870924
Comment:
    Complex tripping due to Grid Fault</t>
      </text>
    </comment>
    <comment ref="F12" authorId="4" shapeId="0" xr:uid="{6F171A4F-BD30-4CD1-8BC9-F048716B1A03}">
      <text>
        <t>[Threaded comment]
Your version of Excel allows you to read this threaded comment; however, any edits to it will get removed if the file is opened in a newer version of Excel. Learn more: https://go.microsoft.com/fwlink/?linkid=870924
Comment:
    Tripped due to Grid Instability</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tc={70C473FB-BB92-46AA-8182-DB469A530C39}</author>
  </authors>
  <commentList>
    <comment ref="W9" authorId="0" shapeId="0" xr:uid="{70C473FB-BB92-46AA-8182-DB469A530C39}">
      <text>
        <t>[Threaded comment]
Your version of Excel allows you to read this threaded comment; however, any edits to it will get removed if the file is opened in a newer version of Excel. Learn more: https://go.microsoft.com/fwlink/?linkid=870924
Comment:
    Without CO2</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E560ABA-91AC-4FCA-A6BF-F3031C702F22}" keepAlive="1" name="Query - Base Data 2026" description="Connection to the 'Base Data 2026' query in the workbook." type="5" refreshedVersion="8" background="1" saveData="1">
    <dbPr connection="Provider=Microsoft.Mashup.OleDb.1;Data Source=$Workbook$;Location=&quot;Base Data 2026&quot;;Extended Properties=&quot;&quot;" command="SELECT * FROM [Base Data 2026]"/>
  </connection>
  <connection id="2" xr16:uid="{E3750F59-F73C-4476-BD90-EE1F13641DD6}" keepAlive="1" name="Query - fnCF_BaroPressure" description="Connection to the 'fnCF_BaroPressure' query in the workbook." type="5" refreshedVersion="0" background="1">
    <dbPr connection="Provider=Microsoft.Mashup.OleDb.1;Data Source=$Workbook$;Location=fnCF_BaroPressure;Extended Properties=&quot;&quot;" command="SELECT * FROM [fnCF_BaroPressure]"/>
  </connection>
  <connection id="3" xr16:uid="{1D458373-94C0-4116-A9D2-2B87E2B9DF85}" keepAlive="1" name="Query - fnCF_CIT" description="Connection to the 'fnCF_CIT' query in the workbook." type="5" refreshedVersion="0" background="1">
    <dbPr connection="Provider=Microsoft.Mashup.OleDb.1;Data Source=$Workbook$;Location=fnCF_CIT;Extended Properties=&quot;&quot;" command="SELECT * FROM [fnCF_CIT]"/>
  </connection>
  <connection id="4" xr16:uid="{C5F65B39-5669-4BA0-9467-319AA6732073}" keepAlive="1" name="Query - fnCF_ExhaustDP" description="Connection to the 'fnCF_ExhaustDP' query in the workbook." type="5" refreshedVersion="0" background="1">
    <dbPr connection="Provider=Microsoft.Mashup.OleDb.1;Data Source=$Workbook$;Location=fnCF_ExhaustDP;Extended Properties=&quot;&quot;" command="SELECT * FROM [fnCF_ExhaustDP]"/>
  </connection>
  <connection id="5" xr16:uid="{CCA06632-5C0E-471A-94C3-E124D31551F6}" keepAlive="1" name="Query - fnCF_ExhaustPressure" description="Connection to the 'fnCF_ExhaustPressure' query in the workbook." type="5" refreshedVersion="0" background="1">
    <dbPr connection="Provider=Microsoft.Mashup.OleDb.1;Data Source=$Workbook$;Location=fnCF_ExhaustPressure;Extended Properties=&quot;&quot;" command="SELECT * FROM [fnCF_ExhaustPressure]"/>
  </connection>
  <connection id="6" xr16:uid="{900B262F-409A-43F2-B5D2-9D9DA339766D}" keepAlive="1" name="Query - fnCF_FuelComp" description="Connection to the 'fnCF_FuelComp' query in the workbook." type="5" refreshedVersion="0" background="1">
    <dbPr connection="Provider=Microsoft.Mashup.OleDb.1;Data Source=$Workbook$;Location=fnCF_FuelComp;Extended Properties=&quot;&quot;" command="SELECT * FROM [fnCF_FuelComp]"/>
  </connection>
  <connection id="7" xr16:uid="{2F0EDEAD-3F69-4C2F-A2B7-381FC3D232A8}" keepAlive="1" name="Query - fnCF_FuelTemp" description="Connection to the 'fnCF_FuelTemp' query in the workbook." type="5" refreshedVersion="0" background="1">
    <dbPr connection="Provider=Microsoft.Mashup.OleDb.1;Data Source=$Workbook$;Location=fnCF_FuelTemp;Extended Properties=&quot;&quot;" command="SELECT * FROM [fnCF_FuelTemp]"/>
  </connection>
  <connection id="8" xr16:uid="{8DB5D001-7CFE-436C-ABB8-C7E0A023CAF8}" keepAlive="1" name="Query - fnCF_InletDP" description="Connection to the 'fnCF_InletDP' query in the workbook." type="5" refreshedVersion="0" background="1">
    <dbPr connection="Provider=Microsoft.Mashup.OleDb.1;Data Source=$Workbook$;Location=fnCF_InletDP;Extended Properties=&quot;&quot;" command="SELECT * FROM [fnCF_InletDP]"/>
  </connection>
  <connection id="9" xr16:uid="{01041137-B207-4A69-9D97-E97661F6B2D5}" keepAlive="1" name="Query - fnCF_RH" description="Connection to the 'fnCF_RH' query in the workbook." type="5" refreshedVersion="0" background="1">
    <dbPr connection="Provider=Microsoft.Mashup.OleDb.1;Data Source=$Workbook$;Location=fnCF_RH;Extended Properties=&quot;&quot;" command="SELECT * FROM [fnCF_RH]"/>
  </connection>
  <connection id="10" xr16:uid="{6C1C704A-06E0-4036-AB19-FCF23D5B1211}" keepAlive="1" name="Query - fnCF_ShaftSpeed" description="Connection to the 'fnCF_ShaftSpeed' query in the workbook." type="5" refreshedVersion="0" background="1">
    <dbPr connection="Provider=Microsoft.Mashup.OleDb.1;Data Source=$Workbook$;Location=fnCF_ShaftSpeed;Extended Properties=&quot;&quot;" command="SELECT * FROM [fnCF_ShaftSpeed]"/>
  </connection>
  <connection id="11" xr16:uid="{283B8F48-B11D-4586-818F-35EBB63C74D1}" keepAlive="1" name="Query - fnInterp1D" description="Connection to the 'fnInterp1D' query in the workbook." type="5" refreshedVersion="0" background="1">
    <dbPr connection="Provider=Microsoft.Mashup.OleDb.1;Data Source=$Workbook$;Location=fnInterp1D;Extended Properties=&quot;&quot;" command="SELECT * FROM [fnInterp1D]"/>
  </connection>
  <connection id="12" xr16:uid="{CB95F337-3B56-418A-AAE7-A6A7C46EF20E}" keepAlive="1" name="Query - fnInterp2D" description="Connection to the 'fnInterp2D' query in the workbook." type="5" refreshedVersion="0" background="1">
    <dbPr connection="Provider=Microsoft.Mashup.OleDb.1;Data Source=$Workbook$;Location=fnInterp2D;Extended Properties=&quot;&quot;" command="SELECT * FROM [fnInterp2D]"/>
  </connection>
  <connection id="13" xr16:uid="{6E7DCC8F-C1D0-43A3-ACD1-B6C3428D7681}" keepAlive="1" name="Query - fnInterpFuelCurve" description="Connection to the 'fnInterpFuelCurve' query in the workbook." type="5" refreshedVersion="0" background="1">
    <dbPr connection="Provider=Microsoft.Mashup.OleDb.1;Data Source=$Workbook$;Location=fnInterpFuelCurve;Extended Properties=&quot;&quot;" command="SELECT * FROM [fnInterpFuelCurve]"/>
  </connection>
  <connection id="14" xr16:uid="{E7CD2955-1205-4699-92AF-1F8266A846C0}" keepAlive="1" name="Query - fnRH_at_Comp_Inlet" description="Connection to the 'fnRH_at_Comp_Inlet' query in the workbook." type="5" refreshedVersion="0" background="1">
    <dbPr connection="Provider=Microsoft.Mashup.OleDb.1;Data Source=$Workbook$;Location=fnRH_at_Comp_Inlet;Extended Properties=&quot;&quot;" command="SELECT * FROM [fnRH_at_Comp_Inlet]"/>
  </connection>
  <connection id="15" xr16:uid="{39248710-65E3-4AF7-89AC-79E0EE26B671}" keepAlive="1" name="Query - GT_Combined_Summary" description="Connection to the 'GT_Combined_Summary' query in the workbook." type="5" refreshedVersion="8" background="1" saveData="1">
    <dbPr connection="Provider=Microsoft.Mashup.OleDb.1;Data Source=$Workbook$;Location=GT_Combined_Summary;Extended Properties=&quot;&quot;" command="SELECT * FROM [GT_Combined_Summary]"/>
  </connection>
  <connection id="16" xr16:uid="{CFB26FF8-53DD-46C1-9D81-056E42D32AC7}" keepAlive="1" name="Query - GT1A_Performance" description="Connection to the 'GT1A_Performance' query in the workbook." type="5" refreshedVersion="8" background="1" saveData="1">
    <dbPr connection="Provider=Microsoft.Mashup.OleDb.1;Data Source=$Workbook$;Location=GT1A_Performance;Extended Properties=&quot;&quot;" command="SELECT * FROM [GT1A_Performance]"/>
  </connection>
  <connection id="17" xr16:uid="{1485C21F-2593-426B-BDCE-B9E6477B6FED}" keepAlive="1" name="Query - GT1B_Performance" description="Connection to the 'GT1B_Performance' query in the workbook." type="5" refreshedVersion="8" background="1" saveData="1">
    <dbPr connection="Provider=Microsoft.Mashup.OleDb.1;Data Source=$Workbook$;Location=GT1B_Performance;Extended Properties=&quot;&quot;" command="SELECT * FROM [GT1B_Performance]"/>
  </connection>
  <connection id="18" xr16:uid="{85C7BDF0-05A6-46BE-817B-E57407E63F0D}" keepAlive="1" name="Query - GT1C_Performance" description="Connection to the 'GT1C_Performance' query in the workbook." type="5" refreshedVersion="8" background="1" saveData="1">
    <dbPr connection="Provider=Microsoft.Mashup.OleDb.1;Data Source=$Workbook$;Location=GT1C_Performance;Extended Properties=&quot;&quot;" command="SELECT * FROM [GT1C_Performance]"/>
  </connection>
  <connection id="19" xr16:uid="{1B194F36-4526-46F8-8501-52AC1E5D2D73}" keepAlive="1" name="Query - OFWW" description="Connection to the 'OFWW' query in the workbook." type="5" refreshedVersion="8" background="1" saveData="1">
    <dbPr connection="Provider=Microsoft.Mashup.OleDb.1;Data Source=$Workbook$;Location=OFWW;Extended Properties=&quot;&quot;" command="SELECT * FROM [OFWW]"/>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<sst xmlns="http://schemas.openxmlformats.org/spreadsheetml/2006/main" count="953" uniqueCount="477">
  <si>
    <t>Date</t>
  </si>
  <si>
    <t>Hour</t>
  </si>
  <si>
    <t>Hexane (%)</t>
  </si>
  <si>
    <t>Nitrogen (%)</t>
  </si>
  <si>
    <t>Methane (%)</t>
  </si>
  <si>
    <t>CO2 (%)</t>
  </si>
  <si>
    <t>Ethane (%)</t>
  </si>
  <si>
    <t>Propane (%)</t>
  </si>
  <si>
    <t>ISO Pentane</t>
  </si>
  <si>
    <t>ISO Butane (%)</t>
  </si>
  <si>
    <t>N Butane (%)</t>
  </si>
  <si>
    <t>ISO Pentane (%)</t>
  </si>
  <si>
    <t>N Pentane (%)</t>
  </si>
  <si>
    <t>Date Only</t>
  </si>
  <si>
    <t>Time Stamp</t>
  </si>
  <si>
    <t>Ambient_Temp_DB</t>
  </si>
  <si>
    <t>Rel_Humidity</t>
  </si>
  <si>
    <t>Ambient_Press</t>
  </si>
  <si>
    <t>CT_Area_WB_Temp</t>
  </si>
  <si>
    <t>H2_Bldg_WB_Temp</t>
  </si>
  <si>
    <t>GT1A_Comp_Inlet_Temp</t>
  </si>
  <si>
    <t>GT1B_Comp_Inlet_Temp</t>
  </si>
  <si>
    <t>GT1C_Comp_Inlet_Temp</t>
  </si>
  <si>
    <t>GT1A_Turbine_Speed</t>
  </si>
  <si>
    <t>GT1B_Turbine_Speed</t>
  </si>
  <si>
    <t>GT1C_Turbine_Speed</t>
  </si>
  <si>
    <t>ST_HP_Turbine_Speed</t>
  </si>
  <si>
    <t>Fuel_Gas_A_MCF_Hr</t>
  </si>
  <si>
    <t>Fuel_Gas_B_MCF_Hr</t>
  </si>
  <si>
    <t>Fuel_Gas_BTU</t>
  </si>
  <si>
    <t>Plant_Net_Load</t>
  </si>
  <si>
    <t>GT1A_Gen_MW</t>
  </si>
  <si>
    <t>GT1B_Gen_MW</t>
  </si>
  <si>
    <t>GT1C_Gen_MW</t>
  </si>
  <si>
    <t>ST_Gen_MW</t>
  </si>
  <si>
    <t>GT1A_Gen_Field_Amps</t>
  </si>
  <si>
    <t>GT1B_Gen_Field_Amps</t>
  </si>
  <si>
    <t>GT1C_Gen_Field_Amps</t>
  </si>
  <si>
    <t>GT1A_Gen_Field_Volts</t>
  </si>
  <si>
    <t>GT1B_Gen_Field_Volts</t>
  </si>
  <si>
    <t>GT1C_Gen_Field_Volts</t>
  </si>
  <si>
    <t>GT1A_Gen_PF</t>
  </si>
  <si>
    <t>GT1B_Gen_PF</t>
  </si>
  <si>
    <t>GT1C_Gen_PF</t>
  </si>
  <si>
    <t>ST_1st_Stage_Press</t>
  </si>
  <si>
    <t>GT1A_IGV_Position</t>
  </si>
  <si>
    <t>GT1B_IGV_Position</t>
  </si>
  <si>
    <t>GT1C_IGV_Position</t>
  </si>
  <si>
    <t>GT1A_Comp_Disch_Temp</t>
  </si>
  <si>
    <t>GT1B_Comp_Disch_Temp</t>
  </si>
  <si>
    <t>GT1C_Comp_Disch_Temp</t>
  </si>
  <si>
    <t>GT1A_Comp_Disch_Press</t>
  </si>
  <si>
    <t>GT1B_Comp_Disch_Press</t>
  </si>
  <si>
    <t>GT1C_Comp_Disch_Press</t>
  </si>
  <si>
    <t>GT1A_Turb_Exh_Temp</t>
  </si>
  <si>
    <t>GT1A_Fuel_Flow</t>
  </si>
  <si>
    <t>GT1A_Fuel_Temp</t>
  </si>
  <si>
    <t>GT1B_Turb_Exh_Temp</t>
  </si>
  <si>
    <t>GT1B_Fuel_Flow</t>
  </si>
  <si>
    <t>GT1B_Fuel_Temp</t>
  </si>
  <si>
    <t>GT1C_Turb_Exh_Temp</t>
  </si>
  <si>
    <t>GT1C_Fuel_Flow</t>
  </si>
  <si>
    <t>GT1C_Fuel_Temp</t>
  </si>
  <si>
    <t>HRSG1A_HP_Stm_Press</t>
  </si>
  <si>
    <t>HRSG1B_HP_Stm_Press</t>
  </si>
  <si>
    <t>HRSG1C_HP_Stm_Press</t>
  </si>
  <si>
    <t>HRSG1A_IP_Stm_Press</t>
  </si>
  <si>
    <t>HRSG1B_IP_Stm_Press</t>
  </si>
  <si>
    <t>HRSG1C_IP_Stm_Press</t>
  </si>
  <si>
    <t>HRSG1A_HP_Stm_Temp</t>
  </si>
  <si>
    <t>HRSG1B_HP_Stm_Temp</t>
  </si>
  <si>
    <t>HRSG1C_HP_Stm_Temp</t>
  </si>
  <si>
    <t>HRSG1A_IP_Stm_Temp</t>
  </si>
  <si>
    <t>HRSG1B_IP_Stm_Temp</t>
  </si>
  <si>
    <t>HRSG1C_IP_Stm_Temp</t>
  </si>
  <si>
    <t>HRSG1A_HP_Stm_Flow</t>
  </si>
  <si>
    <t>HRSG1B_HP_Stm_Flow</t>
  </si>
  <si>
    <t>HRSG1C_HP_Stm_Flow</t>
  </si>
  <si>
    <t>HRSG1A_IP_Stm_Flow</t>
  </si>
  <si>
    <t>HRSG1B_IP_Stm_Flow</t>
  </si>
  <si>
    <t>HRSG1C_IP_Stm_Flow</t>
  </si>
  <si>
    <t>ST_Main_Inlet_Stm_Temp</t>
  </si>
  <si>
    <t>ST_HP_Inlet_Press</t>
  </si>
  <si>
    <t>ST_LP_Adm_Stm_Temp</t>
  </si>
  <si>
    <t>ST_IP_Adm_Press</t>
  </si>
  <si>
    <t>ST_Exh_Stm_Temp</t>
  </si>
  <si>
    <t>ST_Exh_Vacuum</t>
  </si>
  <si>
    <t>Condenser_Back_Press</t>
  </si>
  <si>
    <t>HRSG1A_HP_FW_Temp</t>
  </si>
  <si>
    <t>HRSG1B_HP_FW_Temp</t>
  </si>
  <si>
    <t>HRSG1C_HP_FW_Temp</t>
  </si>
  <si>
    <t>HRSG1A_HP_FW_Flow</t>
  </si>
  <si>
    <t>HRSG1B_HP_FW_Flow</t>
  </si>
  <si>
    <t>HRSG1C_HP_FW_Flow</t>
  </si>
  <si>
    <t>HRSG1A_IP_FW_Temp</t>
  </si>
  <si>
    <t>HRSG1B_IP_FW_Temp</t>
  </si>
  <si>
    <t>HRSG1C_IP_FW_Temp</t>
  </si>
  <si>
    <t>HRSG1A_IP_FW_Flow</t>
  </si>
  <si>
    <t>HRSG1B_IP_FW_Flow</t>
  </si>
  <si>
    <t>HRSG1C_IP_FW_Flow</t>
  </si>
  <si>
    <t>HRSG1A_LP_FW_Temp</t>
  </si>
  <si>
    <t>HRSG1B_LP_FW_Temp</t>
  </si>
  <si>
    <t>HRSG1C_LP_FW_Temp</t>
  </si>
  <si>
    <t>HRSG1A_LP_FW_Flow</t>
  </si>
  <si>
    <t>HRSG1B_LP_FW_Flow</t>
  </si>
  <si>
    <t>HRSG1C_LP_FW_Flow</t>
  </si>
  <si>
    <t>HRSG1A_HP_Drum_Temp</t>
  </si>
  <si>
    <t>HRSG1B_HP_Drum_Temp</t>
  </si>
  <si>
    <t>HRSG1C_HP_Drum_Temp</t>
  </si>
  <si>
    <t>HRSG1A_IP_Drum_Temp</t>
  </si>
  <si>
    <t>HRSG1B_IP_Drum_Temp</t>
  </si>
  <si>
    <t>HRSG1C_IP_Drum_Temp</t>
  </si>
  <si>
    <t>BFP_Disch_HP_Press</t>
  </si>
  <si>
    <t>BFP_Disch_IP_Press</t>
  </si>
  <si>
    <t>HRSG1A_LP_Stm_Press</t>
  </si>
  <si>
    <t>HRSG1B_LP_Stm_Press</t>
  </si>
  <si>
    <t>HRSG1C_LP_Stm_Press</t>
  </si>
  <si>
    <t>HRSG1A_LP_Stm_Temp</t>
  </si>
  <si>
    <t>HRSG1B_LP_Stm_Temp</t>
  </si>
  <si>
    <t>HRSG1C_LP_Stm_Temp</t>
  </si>
  <si>
    <t>HRSG1A_HP_Drum_Press</t>
  </si>
  <si>
    <t>HRSG1B_HP_Drum_Press</t>
  </si>
  <si>
    <t>HRSG1C_HP_Drum_Press</t>
  </si>
  <si>
    <t>HRSG1A_IP_Drum_Press</t>
  </si>
  <si>
    <t>HRSG1B_IP_Drum_Press</t>
  </si>
  <si>
    <t>HRSG1C_IP_Drum_Press</t>
  </si>
  <si>
    <t>HRSG1A_LP_Drum_Press</t>
  </si>
  <si>
    <t>HRSG1B_LP_Drum_Press</t>
  </si>
  <si>
    <t>HRSG1C_LP_Drum_Press</t>
  </si>
  <si>
    <t>HRSG1A_Stack_Temp</t>
  </si>
  <si>
    <t>HRSG1B_Stack_Temp</t>
  </si>
  <si>
    <t>HRSG1C_Stack_Temp</t>
  </si>
  <si>
    <t>CW_Pump_Disch_Press</t>
  </si>
  <si>
    <t>CW_Pump_Disch_Flow</t>
  </si>
  <si>
    <t>CW_Pump_Disch_Temp</t>
  </si>
  <si>
    <t>Cond_WB_A_Outlet_Temp</t>
  </si>
  <si>
    <t>Cond_WB_B_Outlet_Temp</t>
  </si>
  <si>
    <t>CW_HX3_Temp</t>
  </si>
  <si>
    <t>CT_Blowdown_Flow</t>
  </si>
  <si>
    <t>GT1A_Diff_Press</t>
  </si>
  <si>
    <t>GT1B_Diff_Press</t>
  </si>
  <si>
    <t>GT1C_Diff_Press</t>
  </si>
  <si>
    <t>GT1A_GCV_Position</t>
  </si>
  <si>
    <t>GT1B_GCV_Position</t>
  </si>
  <si>
    <t>GT1C_GCV_Position</t>
  </si>
  <si>
    <t>GT1A_GCV_Reference</t>
  </si>
  <si>
    <t>GT1B_GCV_Reference</t>
  </si>
  <si>
    <t>GT1C_GCV_Reference</t>
  </si>
  <si>
    <t>GT1A_InterStg_Press</t>
  </si>
  <si>
    <t>GT1B_InterStg_Press</t>
  </si>
  <si>
    <t>GT1C_InterStg_Press</t>
  </si>
  <si>
    <t>LHV</t>
  </si>
  <si>
    <t>LHV (BTU/scf)</t>
  </si>
  <si>
    <t>Mixture MW</t>
  </si>
  <si>
    <t>Specific Gravity</t>
  </si>
  <si>
    <t>Wobbe Index (BTU/scf)</t>
  </si>
  <si>
    <t>HHV Calculated. 
(BTU/scf)</t>
  </si>
  <si>
    <t>Calculated Density
 (lb/scf)</t>
  </si>
  <si>
    <t>H2S UCH 1
PPM</t>
  </si>
  <si>
    <t>H2S
UCH II PPM</t>
  </si>
  <si>
    <t>H2S (%) UCH II</t>
  </si>
  <si>
    <t>LHV 
Btu/lbm</t>
  </si>
  <si>
    <t>Component</t>
  </si>
  <si>
    <t>Hexane</t>
  </si>
  <si>
    <t>Nitrogen</t>
  </si>
  <si>
    <t>Methane</t>
  </si>
  <si>
    <t>CO2​</t>
  </si>
  <si>
    <t>Ethane</t>
  </si>
  <si>
    <t>Propane</t>
  </si>
  <si>
    <t>ISO Butane</t>
  </si>
  <si>
    <t>N-Butane</t>
  </si>
  <si>
    <t>N-Pentane</t>
  </si>
  <si>
    <t>Mol Wt.</t>
  </si>
  <si>
    <t>HHV</t>
  </si>
  <si>
    <t>H/C Ratio</t>
  </si>
  <si>
    <t>Formula</t>
  </si>
  <si>
    <t>Carbon</t>
  </si>
  <si>
    <t>Hydrogen</t>
  </si>
  <si>
    <r>
      <t>C</t>
    </r>
    <r>
      <rPr>
        <b/>
        <sz val="7.7"/>
        <color theme="0"/>
        <rFont val="Arial"/>
        <family val="2"/>
        <scheme val="minor"/>
      </rPr>
      <t>6</t>
    </r>
    <r>
      <rPr>
        <b/>
        <sz val="1"/>
        <color theme="0"/>
        <rFont val="Arial"/>
        <family val="2"/>
        <scheme val="minor"/>
      </rPr>
      <t>​</t>
    </r>
    <r>
      <rPr>
        <b/>
        <sz val="13.3"/>
        <color theme="0"/>
        <rFont val="Arial"/>
        <family val="2"/>
        <scheme val="minor"/>
      </rPr>
      <t>H</t>
    </r>
    <r>
      <rPr>
        <b/>
        <sz val="7.7"/>
        <color theme="0"/>
        <rFont val="Arial"/>
        <family val="2"/>
        <scheme val="minor"/>
      </rPr>
      <t>14</t>
    </r>
    <r>
      <rPr>
        <b/>
        <sz val="1"/>
        <color theme="0"/>
        <rFont val="Arial"/>
        <family val="2"/>
        <scheme val="minor"/>
      </rPr>
      <t>​</t>
    </r>
  </si>
  <si>
    <r>
      <t>N</t>
    </r>
    <r>
      <rPr>
        <b/>
        <sz val="7.7"/>
        <color theme="0"/>
        <rFont val="Arial"/>
        <family val="2"/>
        <scheme val="minor"/>
      </rPr>
      <t>2</t>
    </r>
    <r>
      <rPr>
        <b/>
        <sz val="1"/>
        <color theme="0"/>
        <rFont val="Arial"/>
        <family val="2"/>
        <scheme val="minor"/>
      </rPr>
      <t>​</t>
    </r>
  </si>
  <si>
    <r>
      <t>CH</t>
    </r>
    <r>
      <rPr>
        <b/>
        <sz val="7.7"/>
        <color theme="0"/>
        <rFont val="Arial"/>
        <family val="2"/>
        <scheme val="minor"/>
      </rPr>
      <t>4</t>
    </r>
    <r>
      <rPr>
        <b/>
        <sz val="1"/>
        <color theme="0"/>
        <rFont val="Arial"/>
        <family val="2"/>
        <scheme val="minor"/>
      </rPr>
      <t>​</t>
    </r>
  </si>
  <si>
    <r>
      <t>CO</t>
    </r>
    <r>
      <rPr>
        <b/>
        <sz val="7.7"/>
        <color theme="0"/>
        <rFont val="Arial"/>
        <family val="2"/>
        <scheme val="minor"/>
      </rPr>
      <t>2</t>
    </r>
    <r>
      <rPr>
        <b/>
        <sz val="1"/>
        <color theme="0"/>
        <rFont val="Arial"/>
        <family val="2"/>
        <scheme val="minor"/>
      </rPr>
      <t>​</t>
    </r>
  </si>
  <si>
    <r>
      <t>C</t>
    </r>
    <r>
      <rPr>
        <b/>
        <sz val="7.7"/>
        <color theme="0"/>
        <rFont val="Arial"/>
        <family val="2"/>
        <scheme val="minor"/>
      </rPr>
      <t>2</t>
    </r>
    <r>
      <rPr>
        <b/>
        <sz val="1"/>
        <color theme="0"/>
        <rFont val="Arial"/>
        <family val="2"/>
        <scheme val="minor"/>
      </rPr>
      <t>​</t>
    </r>
    <r>
      <rPr>
        <b/>
        <sz val="13.3"/>
        <color theme="0"/>
        <rFont val="Arial"/>
        <family val="2"/>
        <scheme val="minor"/>
      </rPr>
      <t>H</t>
    </r>
    <r>
      <rPr>
        <b/>
        <sz val="7.7"/>
        <color theme="0"/>
        <rFont val="Arial"/>
        <family val="2"/>
        <scheme val="minor"/>
      </rPr>
      <t>6</t>
    </r>
    <r>
      <rPr>
        <b/>
        <sz val="1"/>
        <color theme="0"/>
        <rFont val="Arial"/>
        <family val="2"/>
        <scheme val="minor"/>
      </rPr>
      <t>​</t>
    </r>
  </si>
  <si>
    <r>
      <t>C</t>
    </r>
    <r>
      <rPr>
        <b/>
        <sz val="7.7"/>
        <color theme="0"/>
        <rFont val="Arial"/>
        <family val="2"/>
        <scheme val="minor"/>
      </rPr>
      <t>3</t>
    </r>
    <r>
      <rPr>
        <b/>
        <sz val="1"/>
        <color theme="0"/>
        <rFont val="Arial"/>
        <family val="2"/>
        <scheme val="minor"/>
      </rPr>
      <t>​</t>
    </r>
    <r>
      <rPr>
        <b/>
        <sz val="13.3"/>
        <color theme="0"/>
        <rFont val="Arial"/>
        <family val="2"/>
        <scheme val="minor"/>
      </rPr>
      <t>H</t>
    </r>
    <r>
      <rPr>
        <b/>
        <sz val="7.7"/>
        <color theme="0"/>
        <rFont val="Arial"/>
        <family val="2"/>
        <scheme val="minor"/>
      </rPr>
      <t>8</t>
    </r>
    <r>
      <rPr>
        <b/>
        <sz val="1"/>
        <color theme="0"/>
        <rFont val="Arial"/>
        <family val="2"/>
        <scheme val="minor"/>
      </rPr>
      <t>​</t>
    </r>
  </si>
  <si>
    <r>
      <t>C</t>
    </r>
    <r>
      <rPr>
        <b/>
        <sz val="7.7"/>
        <color theme="0"/>
        <rFont val="Arial"/>
        <family val="2"/>
        <scheme val="minor"/>
      </rPr>
      <t>4</t>
    </r>
    <r>
      <rPr>
        <b/>
        <sz val="1"/>
        <color theme="0"/>
        <rFont val="Arial"/>
        <family val="2"/>
        <scheme val="minor"/>
      </rPr>
      <t>​</t>
    </r>
    <r>
      <rPr>
        <b/>
        <sz val="13.3"/>
        <color theme="0"/>
        <rFont val="Arial"/>
        <family val="2"/>
        <scheme val="minor"/>
      </rPr>
      <t>H</t>
    </r>
    <r>
      <rPr>
        <b/>
        <sz val="7.7"/>
        <color theme="0"/>
        <rFont val="Arial"/>
        <family val="2"/>
        <scheme val="minor"/>
      </rPr>
      <t>10</t>
    </r>
    <r>
      <rPr>
        <b/>
        <sz val="1"/>
        <color theme="0"/>
        <rFont val="Arial"/>
        <family val="2"/>
        <scheme val="minor"/>
      </rPr>
      <t>​</t>
    </r>
  </si>
  <si>
    <r>
      <t>H</t>
    </r>
    <r>
      <rPr>
        <b/>
        <sz val="7.7"/>
        <color theme="0"/>
        <rFont val="Arial"/>
        <family val="2"/>
        <scheme val="minor"/>
      </rPr>
      <t>2</t>
    </r>
    <r>
      <rPr>
        <b/>
        <sz val="1"/>
        <color theme="0"/>
        <rFont val="Arial"/>
        <family val="2"/>
        <scheme val="minor"/>
      </rPr>
      <t>​</t>
    </r>
    <r>
      <rPr>
        <b/>
        <sz val="13.3"/>
        <color theme="0"/>
        <rFont val="Arial"/>
        <family val="2"/>
        <scheme val="minor"/>
      </rPr>
      <t>S</t>
    </r>
  </si>
  <si>
    <r>
      <t>C</t>
    </r>
    <r>
      <rPr>
        <b/>
        <sz val="7.7"/>
        <color theme="0"/>
        <rFont val="Arial"/>
        <family val="2"/>
        <scheme val="minor"/>
      </rPr>
      <t>5</t>
    </r>
    <r>
      <rPr>
        <b/>
        <sz val="1"/>
        <color theme="0"/>
        <rFont val="Arial"/>
        <family val="2"/>
        <scheme val="minor"/>
      </rPr>
      <t>​</t>
    </r>
    <r>
      <rPr>
        <b/>
        <sz val="13.3"/>
        <color theme="0"/>
        <rFont val="Arial"/>
        <family val="2"/>
        <scheme val="minor"/>
      </rPr>
      <t>H</t>
    </r>
    <r>
      <rPr>
        <b/>
        <sz val="7.7"/>
        <color theme="0"/>
        <rFont val="Arial"/>
        <family val="2"/>
        <scheme val="minor"/>
      </rPr>
      <t>12</t>
    </r>
    <r>
      <rPr>
        <b/>
        <sz val="1"/>
        <color theme="0"/>
        <rFont val="Arial"/>
        <family val="2"/>
        <scheme val="minor"/>
      </rPr>
      <t>​</t>
    </r>
  </si>
  <si>
    <r>
      <t>H</t>
    </r>
    <r>
      <rPr>
        <b/>
        <vertAlign val="subscript"/>
        <sz val="13.5"/>
        <color theme="0"/>
        <rFont val="Arial"/>
        <family val="2"/>
        <scheme val="minor"/>
      </rPr>
      <t>2​</t>
    </r>
    <r>
      <rPr>
        <b/>
        <sz val="13.5"/>
        <color theme="0"/>
        <rFont val="Arial"/>
        <family val="2"/>
        <scheme val="minor"/>
      </rPr>
      <t>S</t>
    </r>
  </si>
  <si>
    <t>GT-A Corrected Power (MWh)</t>
  </si>
  <si>
    <t>Full Load</t>
  </si>
  <si>
    <t>IGV Position for Full Load</t>
  </si>
  <si>
    <t>CPD (A | B | C)</t>
  </si>
  <si>
    <t>GCV Position (A | B | C)</t>
  </si>
  <si>
    <t>TTX (A | B | C)</t>
  </si>
  <si>
    <t>MW Output (A | B | C)</t>
  </si>
  <si>
    <t>Fuel Flow ( A | B | C)</t>
  </si>
  <si>
    <t>Inert % 
(N2+Co2)</t>
  </si>
  <si>
    <t>Load_Type</t>
  </si>
  <si>
    <t>FCBL</t>
  </si>
  <si>
    <t>Calculated_WB_Temp</t>
  </si>
  <si>
    <t>ON</t>
  </si>
  <si>
    <t>—</t>
  </si>
  <si>
    <t>File_Path</t>
  </si>
  <si>
    <t>LHV_Btu_lbm</t>
  </si>
  <si>
    <t>Gas Turbine</t>
  </si>
  <si>
    <t>Evap Cooler Eff Calc WB</t>
  </si>
  <si>
    <t>Cooler Status</t>
  </si>
  <si>
    <t>Gen MW</t>
  </si>
  <si>
    <t>MMBTU/hr</t>
  </si>
  <si>
    <t>Month</t>
  </si>
  <si>
    <t>GT_Unit</t>
  </si>
  <si>
    <t>FuelFlow_kg_s</t>
  </si>
  <si>
    <t>MMBTU_hr</t>
  </si>
  <si>
    <t>MeasuredOutput_MW</t>
  </si>
  <si>
    <t>CorrectedOutput_MW</t>
  </si>
  <si>
    <t>MeasuredHeatRate</t>
  </si>
  <si>
    <t>CorrectedHeatRate</t>
  </si>
  <si>
    <t>Combined_OutputCF</t>
  </si>
  <si>
    <t>Combined_HRCF</t>
  </si>
  <si>
    <t>HC_Ratio</t>
  </si>
  <si>
    <t>EvapCooler_Eff_Calc_WB</t>
  </si>
  <si>
    <t>EvapCooler_Eff_H2_Bldg_WB</t>
  </si>
  <si>
    <t>Cooler_Status</t>
  </si>
  <si>
    <t>CIT_degC</t>
  </si>
  <si>
    <t>RH_pct</t>
  </si>
  <si>
    <t>ShaftSpeedRatio</t>
  </si>
  <si>
    <t>FuelTemp_degC</t>
  </si>
  <si>
    <t>InletDP_mmH2O</t>
  </si>
  <si>
    <t>DeltaExhDP_mmH2O</t>
  </si>
  <si>
    <t>ExhaustDP_mmH2O</t>
  </si>
  <si>
    <t>BaroPressure_mbara</t>
  </si>
  <si>
    <t>FuelLHV_kJkg</t>
  </si>
  <si>
    <t>CF1_ExhaustPressure_mmH2O</t>
  </si>
  <si>
    <t>CF2_OutputRatio</t>
  </si>
  <si>
    <t>CF3_HeatRateRatio</t>
  </si>
  <si>
    <t>CF4_ExhaustFlowRatio</t>
  </si>
  <si>
    <t>CF5_ExhaustTempDiff_degC</t>
  </si>
  <si>
    <t>CF6_OutputRatio</t>
  </si>
  <si>
    <t>CF7_HeatRateRatio</t>
  </si>
  <si>
    <t>CF8_ExhaustFlowRatio</t>
  </si>
  <si>
    <t>CF9_ExhaustTempDiff_degC</t>
  </si>
  <si>
    <t>CF10_OutputRatio</t>
  </si>
  <si>
    <t>CF11_HeatRateRatio</t>
  </si>
  <si>
    <t>CF12_ExhaustFlowRatio</t>
  </si>
  <si>
    <t>CF13_ExhaustTempDiff_degC</t>
  </si>
  <si>
    <t>CF14_OutputRatio</t>
  </si>
  <si>
    <t>CF15_HeatRateRatio</t>
  </si>
  <si>
    <t>CF16_OutputRatio</t>
  </si>
  <si>
    <t>CF17_HeatRateRatio</t>
  </si>
  <si>
    <t>CF18_ExhaustFlowRatio</t>
  </si>
  <si>
    <t>CF19_ExhaustTempDiff_degC</t>
  </si>
  <si>
    <t>CF20_OutputRatio</t>
  </si>
  <si>
    <t>CF21_HeatRateRatio</t>
  </si>
  <si>
    <t>CF22_ExhaustTempDiff_degC</t>
  </si>
  <si>
    <t>CF23_OutputRatio</t>
  </si>
  <si>
    <t>CF24_HeatRateRatio</t>
  </si>
  <si>
    <t>CF25_ExhaustTempDiff_degC</t>
  </si>
  <si>
    <t>CF26_OutputRatio</t>
  </si>
  <si>
    <t>CF27_HeatRateRatio</t>
  </si>
  <si>
    <t>CF28_ExhaustFlowRatio</t>
  </si>
  <si>
    <t>CF29_ExhaustTempDiff_degC</t>
  </si>
  <si>
    <t>CF30_OutputRatio</t>
  </si>
  <si>
    <t>CF31_HeatRateRatio</t>
  </si>
  <si>
    <t>CF32_ExhaustFlowRatio</t>
  </si>
  <si>
    <t>CF33_ExhaustTempDiff_degC</t>
  </si>
  <si>
    <t>GT1A</t>
  </si>
  <si>
    <t>HC_ratio2</t>
  </si>
  <si>
    <t>Calc_CorrectedOutput_MW</t>
  </si>
  <si>
    <t>GT1B</t>
  </si>
  <si>
    <t>GT1C</t>
  </si>
  <si>
    <t>Corrected Output (MW)</t>
  </si>
  <si>
    <t>CorrectedExhaustTemp</t>
  </si>
  <si>
    <t>CorrectedExhaustFlow</t>
  </si>
  <si>
    <t>CorrectedEfficiency</t>
  </si>
  <si>
    <t>Combined_ExhFlowCF</t>
  </si>
  <si>
    <t>MeasuredExhaustTemp</t>
  </si>
  <si>
    <t>MeasuredExhaustFlow</t>
  </si>
  <si>
    <t>Ambient Temp DB (°C)</t>
  </si>
  <si>
    <t>Rel Humidity (%)</t>
  </si>
  <si>
    <t>Ambient Press (mbar)</t>
  </si>
  <si>
    <t>Calculated WB Temp (°C)</t>
  </si>
  <si>
    <t>Comp Inlet Temp (°C)</t>
  </si>
  <si>
    <t>Turb Exh Temp (°C)</t>
  </si>
  <si>
    <t>GT Efficiency</t>
  </si>
  <si>
    <t>Corrected Exhaust Temp (°C)</t>
  </si>
  <si>
    <t>Corrected Exhaust Flow (kg/s)</t>
  </si>
  <si>
    <t>TOTAL</t>
  </si>
  <si>
    <t>Compressor_PR</t>
  </si>
  <si>
    <t>Compressor_Efficiency</t>
  </si>
  <si>
    <t>Compressor PR</t>
  </si>
  <si>
    <t>Compressor Efficiency</t>
  </si>
  <si>
    <t>UCH 1 GCV</t>
  </si>
  <si>
    <t>UCH 1 H2S</t>
  </si>
  <si>
    <t>Uch 1 LHV BTU/lbm</t>
  </si>
  <si>
    <t>Column1</t>
  </si>
  <si>
    <t>Z:\O Operations\O04 General Records\O4.02 Plant Performance Monitoring\O4.02.01 Uch-I\2026\01 Internal Performance Test\2026 Raw Data\2026 Data UCH 1 R1 .xlsm</t>
  </si>
  <si>
    <t xml:space="preserve">Date </t>
  </si>
  <si>
    <t xml:space="preserve">GT-A </t>
  </si>
  <si>
    <t>GT-B</t>
  </si>
  <si>
    <t>GT-C</t>
  </si>
  <si>
    <t>OFWW</t>
  </si>
  <si>
    <t>GT1A_OFWW</t>
  </si>
  <si>
    <t>GT1B_OFWW</t>
  </si>
  <si>
    <t>GT1C_OFWW</t>
  </si>
  <si>
    <t>MeasuredHeatRate_BTU</t>
  </si>
  <si>
    <t>CorrectedHeatRate_BTU</t>
  </si>
  <si>
    <t>RH_at_CIT</t>
  </si>
  <si>
    <t>RH at Comp Inlet (%)</t>
  </si>
  <si>
    <t>Heat Rate (BTU/kWh)</t>
  </si>
  <si>
    <t>Corrected Heat Rate (BTU/kWh)</t>
  </si>
  <si>
    <t>HHV_BTU_SCF</t>
  </si>
  <si>
    <t>Column2</t>
  </si>
  <si>
    <t>GTHeatRate_BTU_kWh</t>
  </si>
  <si>
    <t>CorrectedHeatRate_BTU_kWh</t>
  </si>
  <si>
    <t>Calc_GTHeatRate_BTU_kWh</t>
  </si>
  <si>
    <t>Calc_CorrectedHeatRate_BTU_kWh</t>
  </si>
  <si>
    <t>Corrected GT Efficiency</t>
  </si>
  <si>
    <t>Filter Replacement Log</t>
  </si>
  <si>
    <t>GT Name</t>
  </si>
  <si>
    <t>GT A</t>
  </si>
  <si>
    <t>GT B</t>
  </si>
  <si>
    <t>GT C</t>
  </si>
  <si>
    <t>GT A Desync</t>
  </si>
  <si>
    <t>GT A Sync</t>
  </si>
  <si>
    <t>Reason</t>
  </si>
  <si>
    <t>GT B Desync</t>
  </si>
  <si>
    <t>GT B Sync</t>
  </si>
  <si>
    <t>GT C Desync</t>
  </si>
  <si>
    <t>GT C Sync</t>
  </si>
  <si>
    <t>Start / Stop</t>
  </si>
  <si>
    <t>FO</t>
  </si>
  <si>
    <t>Air Filters Replaced</t>
  </si>
  <si>
    <t>Min</t>
  </si>
  <si>
    <t>Max</t>
  </si>
  <si>
    <t>Corrected Heat Rate</t>
  </si>
  <si>
    <t>Corrected Output</t>
  </si>
  <si>
    <t>Comp Eff</t>
  </si>
  <si>
    <t>Comp PR</t>
  </si>
  <si>
    <t>Row #</t>
  </si>
  <si>
    <t>From</t>
  </si>
  <si>
    <t>To</t>
  </si>
  <si>
    <t>Mar-2026</t>
  </si>
  <si>
    <t>127.1142 MW ÷ CF_CIT(1.0549) ÷ CF_RH(0.9998) ÷ CF_SS(1.0005) ÷ CF_FT(0.9999) ÷ CF_InDP(1.0067) ÷ CF_ExhP(1) ÷ CF_ExhDP(1.0032) ÷ CF_Baro(1.0009) ÷ CF_Fuel(0.9951) = 119.7651 MW</t>
  </si>
  <si>
    <t>FF(23.1801 kg/s) ×3600÷0.9987×35.31467 = 2950785.507 SCF/hr × GCV(474.8986 BTU/SCF) ÷ 1.109(HHV→LHV) ÷ (127.1142 MW × 1000) = 9940.6035 BTU/kWh</t>
  </si>
  <si>
    <t>9940.6035 ÷ CF_CIT(0.9881) ÷ CF_RH(1.0019) ÷ CF_SS(0.9999) ÷ CF_FT(0.9991) ÷ CF_InDP(0.9978) ÷ CF_ExhP(1) ÷ CF_ExhDP(0.9968) ÷ CF_Baro(1) ÷ CF_Fuel(1.0016) = 10089.2658 BTU/kWh</t>
  </si>
  <si>
    <t>127.491 MW ÷ CF_CIT(1.0562) ÷ CF_RH(0.9998) ÷ CF_SS(1.0002) ÷ CF_FT(0.9999) ÷ CF_InDP(1.0067) ÷ CF_ExhP(1) ÷ CF_ExhDP(1.0032) ÷ CF_Baro(1.0005) ÷ CF_Fuel(0.9951) = 120.0573 MW</t>
  </si>
  <si>
    <t>FF(23.565 kg/s) ×3600÷0.9987×35.31467 = 2999790.7714 SCF/hr × GCV(474.8986 BTU/SCF) ÷ 1.109(HHV→LHV) ÷ (127.491 MW × 1000) = 10075.8319 BTU/kWh</t>
  </si>
  <si>
    <t>10075.8319 ÷ CF_CIT(0.9879) ÷ CF_RH(1.0018) ÷ CF_SS(1) ÷ CF_FT(0.9991) ÷ CF_InDP(0.9978) ÷ CF_ExhP(1) ÷ CF_ExhDP(0.9968) ÷ CF_Baro(1) ÷ CF_Fuel(1.0016) = 10229.1818 BTU/kWh</t>
  </si>
  <si>
    <t>126.952 MW ÷ CF_CIT(1.057) ÷ CF_RH(0.9998) ÷ CF_SS(0.9976) ÷ CF_FT(0.9999) ÷ CF_InDP(1.0067) ÷ CF_ExhP(1) ÷ CF_ExhDP(1.0032) ÷ CF_Baro(0.9999) ÷ CF_Fuel(0.9951) = 119.8492 MW</t>
  </si>
  <si>
    <t>FF(23.3259 kg/s) ×3600÷0.9987×35.31467 = 2969341.1356 SCF/hr × GCV(474.8986 BTU/SCF) ÷ 1.109(HHV→LHV) ÷ (126.952 MW × 1000) = 10015.8963 BTU/kWh</t>
  </si>
  <si>
    <t>10015.8963 ÷ CF_CIT(0.9877) ÷ CF_RH(1.0018) ÷ CF_SS(1.0005) ÷ CF_FT(0.999) ÷ CF_InDP(0.9978) ÷ CF_ExhP(1) ÷ CF_ExhDP(0.9968) ÷ CF_Baro(1) ÷ CF_Fuel(1.0016) = 10165.294 BTU/kWh</t>
  </si>
  <si>
    <t>127.1484 MW ÷ CF_CIT(1.0566) ÷ CF_RH(0.9998) ÷ CF_SS(1.0001) ÷ CF_FT(0.9999) ÷ CF_InDP(1.0067) ÷ CF_ExhP(1) ÷ CF_ExhDP(1.0032) ÷ CF_Baro(0.9997) ÷ CF_Fuel(0.9951) = 119.801 MW</t>
  </si>
  <si>
    <t>FF(23.1421 kg/s) ×3600÷0.9987×35.31467 = 2945953.1045 SCF/hr × GCV(474.8986 BTU/SCF) ÷ 1.109(HHV→LHV) ÷ (127.1484 MW × 1000) = 9921.6609 BTU/kWh</t>
  </si>
  <si>
    <t>9921.6609 ÷ CF_CIT(0.9878) ÷ CF_RH(1.0018) ÷ CF_SS(1) ÷ CF_FT(0.999) ÷ CF_InDP(0.9978) ÷ CF_ExhP(1) ÷ CF_ExhDP(0.9968) ÷ CF_Baro(1) ÷ CF_Fuel(1.0016) = 10073.9859 BTU/kWh</t>
  </si>
  <si>
    <t>127.5028 MW ÷ CF_CIT(1.0557) ÷ CF_RH(0.9998) ÷ CF_SS(1.0027) ÷ CF_FT(0.9999) ÷ CF_InDP(1.0067) ÷ CF_ExhP(1) ÷ CF_ExhDP(1.0032) ÷ CF_Baro(0.9996) ÷ CF_Fuel(0.9951) = 119.9459 MW</t>
  </si>
  <si>
    <t>FF(23.3769 kg/s) ×3600÷0.9987×35.31467 = 2975836.1858 SCF/hr × GCV(474.8986 BTU/SCF) ÷ 1.109(HHV→LHV) ÷ (127.5028 MW × 1000) = 9994.4453 BTU/kWh</t>
  </si>
  <si>
    <t>9994.4453 ÷ CF_CIT(0.988) ÷ CF_RH(1.0019) ÷ CF_SS(0.9995) ÷ CF_FT(0.999) ÷ CF_InDP(0.9978) ÷ CF_ExhP(1) ÷ CF_ExhDP(0.9968) ÷ CF_Baro(1) ÷ CF_Fuel(1.0016) = 10150.6527 BTU/kWh</t>
  </si>
  <si>
    <t>127.5835 MW ÷ CF_CIT(1.0567) ÷ CF_RH(0.9998) ÷ CF_SS(1.002) ÷ CF_FT(0.9999) ÷ CF_InDP(1.0067) ÷ CF_ExhP(1) ÷ CF_ExhDP(1.0032) ÷ CF_Baro(0.9998) ÷ CF_Fuel(0.9951) = 119.9652 MW</t>
  </si>
  <si>
    <t>FF(23.484 kg/s) ×3600÷0.9987×35.31467 = 2989478.7321 SCF/hr × GCV(474.8986 BTU/SCF) ÷ 1.109(HHV→LHV) ÷ (127.5835 MW × 1000) = 10033.9142 BTU/kWh</t>
  </si>
  <si>
    <t>10033.9142 ÷ CF_CIT(0.9878) ÷ CF_RH(1.0018) ÷ CF_SS(0.9996) ÷ CF_FT(0.999) ÷ CF_InDP(0.9978) ÷ CF_ExhP(1) ÷ CF_ExhDP(0.9968) ÷ CF_Baro(1) ÷ CF_Fuel(1.0016) = 10191.5176 BTU/kWh</t>
  </si>
  <si>
    <t>123.4236 MW ÷ CF_CIT(1.0375) ÷ CF_RH(0.9998) ÷ CF_SS(0.9982) ÷ CF_FT(0.9999) ÷ CF_InDP(1.0068) ÷ CF_ExhP(1) ÷ CF_ExhDP(1.0032) ÷ CF_Baro(0.9985) ÷ CF_Fuel(0.9951) = 118.7855 MW</t>
  </si>
  <si>
    <t>FF(22.3414 kg/s) ×3600÷0.9987×35.31467 = 2844022.1967 SCF/hr × GCV(474.8986 BTU/SCF) ÷ 1.109(HHV→LHV) ÷ (123.4236 MW × 1000) = 9867.432 BTU/kWh</t>
  </si>
  <si>
    <t>9867.432 ÷ CF_CIT(0.9916) ÷ CF_RH(1.0015) ÷ CF_SS(1.0004) ÷ CF_FT(0.9993) ÷ CF_InDP(0.9977) ÷ CF_ExhP(1) ÷ CF_ExhDP(0.9968) ÷ CF_Baro(1) ÷ CF_Fuel(1.0016) = 9977.0256 BTU/kWh</t>
  </si>
  <si>
    <t>124.859 MW ÷ CF_CIT(1.041) ÷ CF_RH(0.9998) ÷ CF_SS(1.0022) ÷ CF_FT(0.9999) ÷ CF_InDP(1.0068) ÷ CF_ExhP(1) ÷ CF_ExhDP(1.0032) ÷ CF_Baro(0.9989) ÷ CF_Fuel(0.9951) = 119.2245 MW</t>
  </si>
  <si>
    <t>FF(22.07 kg/s) ×3600÷0.9987×35.31467 = 2809471.9422 SCF/hr × GCV(474.8986 BTU/SCF) ÷ 1.109(HHV→LHV) ÷ (124.859 MW × 1000) = 9635.4994 BTU/kWh</t>
  </si>
  <si>
    <t>9635.4994 ÷ CF_CIT(0.9908) ÷ CF_RH(1.0015) ÷ CF_SS(0.9996) ÷ CF_FT(0.9992) ÷ CF_InDP(0.9978) ÷ CF_ExhP(1) ÷ CF_ExhDP(0.9968) ÷ CF_Baro(1) ÷ CF_Fuel(1.0016) = 9759.4462 BTU/kWh</t>
  </si>
  <si>
    <t>125.4907 MW ÷ CF_CIT(1.0437) ÷ CF_RH(0.9998) ÷ CF_SS(1.0026) ÷ CF_FT(0.9999) ÷ CF_InDP(1.0068) ÷ CF_ExhP(1) ÷ CF_ExhDP(1.0032) ÷ CF_Baro(0.9993) ÷ CF_Fuel(0.9951) = 119.439 MW</t>
  </si>
  <si>
    <t>FF(22.6211 kg/s) ×3600÷0.9987×35.31467 = 2879626.5915 SCF/hr × GCV(474.8986 BTU/SCF) ÷ 1.109(HHV→LHV) ÷ (125.4907 MW × 1000) = 9826.3863 BTU/kWh</t>
  </si>
  <si>
    <t>9826.3863 ÷ CF_CIT(0.9903) ÷ CF_RH(1.0015) ÷ CF_SS(0.9995) ÷ CF_FT(0.9993) ÷ CF_InDP(0.9978) ÷ CF_ExhP(1) ÷ CF_ExhDP(0.9968) ÷ CF_Baro(1) ÷ CF_Fuel(1.0016) = 9957.3529 BTU/kWh</t>
  </si>
  <si>
    <t>125.1646 MW ÷ CF_CIT(1.046) ÷ CF_RH(0.9998) ÷ CF_SS(0.9985) ÷ CF_FT(0.9999) ÷ CF_InDP(1.0068) ÷ CF_ExhP(1) ÷ CF_ExhDP(1.0032) ÷ CF_Baro(0.9994) ÷ CF_Fuel(0.9951) = 119.3464 MW</t>
  </si>
  <si>
    <t>FF(22.671 kg/s) ×3600÷0.9987×35.31467 = 2885985.6591 SCF/hr × GCV(474.8986 BTU/SCF) ÷ 1.109(HHV→LHV) ÷ (125.1646 MW × 1000) = 9873.7444 BTU/kWh</t>
  </si>
  <si>
    <t>9873.7444 ÷ CF_CIT(0.9898) ÷ CF_RH(1.0015) ÷ CF_SS(1.0003) ÷ CF_FT(0.9993) ÷ CF_InDP(0.9978) ÷ CF_ExhP(1) ÷ CF_ExhDP(0.9968) ÷ CF_Baro(1) ÷ CF_Fuel(1.0016) = 10002.104 BTU/kWh</t>
  </si>
  <si>
    <t>126.0219 MW ÷ CF_CIT(1.048) ÷ CF_RH(0.9998) ÷ CF_SS(1.0003) ÷ CF_FT(0.9999) ÷ CF_InDP(1.0068) ÷ CF_ExhP(1) ÷ CF_ExhDP(1.0032) ÷ CF_Baro(0.9993) ÷ CF_Fuel(0.9951) = 119.7326 MW</t>
  </si>
  <si>
    <t>FF(23.1564 kg/s) ×3600÷0.9987×35.31467 = 2947766.8143 SCF/hr × GCV(474.8986 BTU/SCF) ÷ 1.109(HHV→LHV) ÷ (126.0219 MW × 1000) = 10016.5082 BTU/kWh</t>
  </si>
  <si>
    <t>10016.5082 ÷ CF_CIT(0.9895) ÷ CF_RH(1.0015) ÷ CF_SS(0.9999) ÷ CF_FT(0.9994) ÷ CF_InDP(0.9978) ÷ CF_ExhP(1) ÷ CF_ExhDP(0.9968) ÷ CF_Baro(1) ÷ CF_Fuel(1.0016) = 10153.7543 BTU/kWh</t>
  </si>
  <si>
    <t>119.092 MW ÷ CF_CIT(1.0579) ÷ CF_RH(0.9998) ÷ CF_SS(1.0005) ÷ CF_FT(0.9999) ÷ CF_InDP(1.005) ÷ CF_ExhP(1) ÷ CF_ExhDP(1.0032) ÷ CF_Baro(1.0009) ÷ CF_Fuel(0.9951) = 112.0766 MW</t>
  </si>
  <si>
    <t>FF(23.234 kg/s) ×3600÷0.9987×35.31467 = 2957647.7935 SCF/hr × GCV(474.8986 BTU/SCF) ÷ 1.109(HHV→LHV) ÷ (119.092 MW × 1000) = 10634.8923 BTU/kWh</t>
  </si>
  <si>
    <t>10634.8923 ÷ CF_CIT(0.9875) ÷ CF_RH(1.0019) ÷ CF_SS(0.9999) ÷ CF_FT(0.9991) ÷ CF_InDP(0.9984) ÷ CF_ExhP(1) ÷ CF_ExhDP(0.9968) ÷ CF_Baro(1) ÷ CF_Fuel(1.0016) = 10793.8887 BTU/kWh</t>
  </si>
  <si>
    <t>119.3699 MW ÷ CF_CIT(1.0593) ÷ CF_RH(0.9998) ÷ CF_SS(1.0002) ÷ CF_FT(0.9999) ÷ CF_InDP(1.0051) ÷ CF_ExhP(1) ÷ CF_ExhDP(1.0032) ÷ CF_Baro(1.0005) ÷ CF_Fuel(0.9951) = 112.2673 MW</t>
  </si>
  <si>
    <t>FF(23.6181 kg/s) ×3600÷0.9987×35.31467 = 3006540.6787 SCF/hr × GCV(474.8986 BTU/SCF) ÷ 1.109(HHV→LHV) ÷ (119.3699 MW × 1000) = 10785.5363 BTU/kWh</t>
  </si>
  <si>
    <t>10785.5363 ÷ CF_CIT(0.9873) ÷ CF_RH(1.0019) ÷ CF_SS(1) ÷ CF_FT(0.9991) ÷ CF_InDP(0.9983) ÷ CF_ExhP(1) ÷ CF_ExhDP(0.9968) ÷ CF_Baro(1) ÷ CF_Fuel(1.0016) = 10950.0119 BTU/kWh</t>
  </si>
  <si>
    <t>118.9469 MW ÷ CF_CIT(1.0598) ÷ CF_RH(0.9998) ÷ CF_SS(0.9976) ÷ CF_FT(0.9999) ÷ CF_InDP(1.0052) ÷ CF_ExhP(1) ÷ CF_ExhDP(1.0032) ÷ CF_Baro(0.9999) ÷ CF_Fuel(0.9951) = 112.1639 MW</t>
  </si>
  <si>
    <t>FF(23.3626 kg/s) ×3600÷0.9987×35.31467 = 2974016.2378 SCF/hr × GCV(474.8986 BTU/SCF) ÷ 1.109(HHV→LHV) ÷ (118.9469 MW × 1000) = 10706.7951 BTU/kWh</t>
  </si>
  <si>
    <t>10706.7951 ÷ CF_CIT(0.9872) ÷ CF_RH(1.0019) ÷ CF_SS(1.0005) ÷ CF_FT(0.999) ÷ CF_InDP(0.9983) ÷ CF_ExhP(1) ÷ CF_ExhDP(0.9968) ÷ CF_Baro(1) ÷ CF_Fuel(1.0016) = 10866.8386 BTU/kWh</t>
  </si>
  <si>
    <t>119.1325 MW ÷ CF_CIT(1.0602) ÷ CF_RH(0.9998) ÷ CF_SS(1.0001) ÷ CF_FT(0.9999) ÷ CF_InDP(1.0051) ÷ CF_ExhP(1) ÷ CF_ExhDP(1.0032) ÷ CF_Baro(0.9997) ÷ CF_Fuel(0.9951) = 112.0453 MW</t>
  </si>
  <si>
    <t>FF(23.1999 kg/s) ×3600÷0.9987×35.31467 = 2953311.5073 SCF/hr × GCV(474.8986 BTU/SCF) ÷ 1.109(HHV→LHV) ÷ (119.1325 MW × 1000) = 10615.6906 BTU/kWh</t>
  </si>
  <si>
    <t>10615.6906 ÷ CF_CIT(0.9871) ÷ CF_RH(1.0019) ÷ CF_SS(1) ÷ CF_FT(0.999) ÷ CF_InDP(0.9984) ÷ CF_ExhP(1) ÷ CF_ExhDP(0.9968) ÷ CF_Baro(1) ÷ CF_Fuel(1.0016) = 10780.071 BTU/kWh</t>
  </si>
  <si>
    <t>119.4664 MW ÷ CF_CIT(1.0595) ÷ CF_RH(0.9998) ÷ CF_SS(1.0026) ÷ CF_FT(0.9999) ÷ CF_InDP(1.005) ÷ CF_ExhP(1) ÷ CF_ExhDP(1.0032) ÷ CF_Baro(0.9996) ÷ CF_Fuel(0.9951) = 112.1719 MW</t>
  </si>
  <si>
    <t>FF(23.4386 kg/s) ×3600÷0.9987×35.31467 = 2983687.8248 SCF/hr × GCV(474.8986 BTU/SCF) ÷ 1.109(HHV→LHV) ÷ (119.4664 MW × 1000) = 10694.9025 BTU/kWh</t>
  </si>
  <si>
    <t>10694.9025 ÷ CF_CIT(0.9872) ÷ CF_RH(1.0019) ÷ CF_SS(0.9995) ÷ CF_FT(0.999) ÷ CF_InDP(0.9984) ÷ CF_ExhP(1) ÷ CF_ExhDP(0.9968) ÷ CF_Baro(1) ÷ CF_Fuel(1.0016) = 10863.5669 BTU/kWh</t>
  </si>
  <si>
    <t>119.4822 MW ÷ CF_CIT(1.0597) ÷ CF_RH(0.9998) ÷ CF_SS(1.002) ÷ CF_FT(0.9999) ÷ CF_InDP(1.005) ÷ CF_ExhP(1) ÷ CF_ExhDP(1.0032) ÷ CF_Baro(0.9998) ÷ CF_Fuel(0.9951) = 112.2193 MW</t>
  </si>
  <si>
    <t>FF(23.5301 kg/s) ×3600÷0.9987×35.31467 = 2995342.2448 SCF/hr × GCV(474.8986 BTU/SCF) ÷ 1.109(HHV→LHV) ÷ (119.4822 MW × 1000) = 10735.2567 BTU/kWh</t>
  </si>
  <si>
    <t>10735.2567 ÷ CF_CIT(0.9872) ÷ CF_RH(1.0019) ÷ CF_SS(0.9996) ÷ CF_FT(0.999) ÷ CF_InDP(0.9984) ÷ CF_ExhP(1) ÷ CF_ExhDP(0.9968) ÷ CF_Baro(1) ÷ CF_Fuel(1.0016) = 10903.8718 BTU/kWh</t>
  </si>
  <si>
    <t>118.6491 MW ÷ CF_CIT(1.039) ÷ CF_RH(0.9998) ÷ CF_SS(0.9981) ÷ CF_FT(0.9999) ÷ CF_InDP(1.0054) ÷ CF_ExhP(1) ÷ CF_ExhDP(1.0032) ÷ CF_Baro(0.9985) ÷ CF_Fuel(0.9951) = 114.1969 MW</t>
  </si>
  <si>
    <t>FF(23.0648 kg/s) ×3600÷0.9987×35.31467 = 2936114.1673 SCF/hr × GCV(474.8986 BTU/SCF) ÷ 1.109(HHV→LHV) ÷ (118.6491 MW × 1000) = 10596.8741 BTU/kWh</t>
  </si>
  <si>
    <t>10596.8741 ÷ CF_CIT(0.9912) ÷ CF_RH(1.0015) ÷ CF_SS(1.0004) ÷ CF_FT(0.9993) ÷ CF_InDP(0.9982) ÷ CF_ExhP(1) ÷ CF_ExhDP(0.9968) ÷ CF_Baro(1) ÷ CF_Fuel(1.0016) = 10712.6222 BTU/kWh</t>
  </si>
  <si>
    <t>119.5923 MW ÷ CF_CIT(1.0426) ÷ CF_RH(0.9998) ÷ CF_SS(1.0022) ÷ CF_FT(0.9999) ÷ CF_InDP(1.0052) ÷ CF_ExhP(1) ÷ CF_ExhDP(1.0032) ÷ CF_Baro(0.9989) ÷ CF_Fuel(0.9951) = 114.2147 MW</t>
  </si>
  <si>
    <t>FF(22.8101 kg/s) ×3600÷0.9987×35.31467 = 2903692.2236 SCF/hr × GCV(474.8986 BTU/SCF) ÷ 1.109(HHV→LHV) ÷ (119.5923 MW × 1000) = 10397.2045 BTU/kWh</t>
  </si>
  <si>
    <t>10397.2045 ÷ CF_CIT(0.9905) ÷ CF_RH(1.0015) ÷ CF_SS(0.9996) ÷ CF_FT(0.9993) ÷ CF_InDP(0.9983) ÷ CF_ExhP(1) ÷ CF_ExhDP(0.9968) ÷ CF_Baro(1) ÷ CF_Fuel(1.0016) = 10527.9732 BTU/kWh</t>
  </si>
  <si>
    <t>120.0411 MW ÷ CF_CIT(1.0447) ÷ CF_RH(0.9998) ÷ CF_SS(1.0025) ÷ CF_FT(0.9999) ÷ CF_InDP(1.0051) ÷ CF_ExhP(1) ÷ CF_ExhDP(1.0032) ÷ CF_Baro(0.9993) ÷ CF_Fuel(0.9951) = 114.3437 MW</t>
  </si>
  <si>
    <t>FF(23.0891 kg/s) ×3600÷0.9987×35.31467 = 2939203.0743 SCF/hr × GCV(474.8986 BTU/SCF) ÷ 1.109(HHV→LHV) ÷ (120.0411 MW × 1000) = 10485.0163 BTU/kWh</t>
  </si>
  <si>
    <t>10485.0163 ÷ CF_CIT(0.9901) ÷ CF_RH(1.0015) ÷ CF_SS(0.9995) ÷ CF_FT(0.9993) ÷ CF_InDP(0.9983) ÷ CF_ExhP(1) ÷ CF_ExhDP(0.9968) ÷ CF_Baro(1) ÷ CF_Fuel(1.0016) = 10620.5346 BTU/kWh</t>
  </si>
  <si>
    <t>120.0835 MW ÷ CF_CIT(1.0461) ÷ CF_RH(0.9998) ÷ CF_SS(0.9984) ÷ CF_FT(0.9999) ÷ CF_InDP(1.0052) ÷ CF_ExhP(1) ÷ CF_ExhDP(1.0032) ÷ CF_Baro(0.9994) ÷ CF_Fuel(0.9951) = 114.676 MW</t>
  </si>
  <si>
    <t>FF(23.0627 kg/s) ×3600÷0.9987×35.31467 = 2935843.1068 SCF/hr × GCV(474.8986 BTU/SCF) ÷ 1.109(HHV→LHV) ÷ (120.0835 MW × 1000) = 10469.3313 BTU/kWh</t>
  </si>
  <si>
    <t>10469.3313 ÷ CF_CIT(0.9898) ÷ CF_RH(1.0015) ÷ CF_SS(1.0003) ÷ CF_FT(0.9993) ÷ CF_InDP(0.9983) ÷ CF_ExhP(1) ÷ CF_ExhDP(0.9968) ÷ CF_Baro(1) ÷ CF_Fuel(1.0016) = 10599.943 BTU/kWh</t>
  </si>
  <si>
    <t>120.8418 MW ÷ CF_CIT(1.0492) ÷ CF_RH(0.9998) ÷ CF_SS(1.0003) ÷ CF_FT(0.9999) ÷ CF_InDP(1.0051) ÷ CF_ExhP(1) ÷ CF_ExhDP(1.0032) ÷ CF_Baro(0.9993) ÷ CF_Fuel(0.9951) = 114.8732 MW</t>
  </si>
  <si>
    <t>FF(23.5326 kg/s) ×3600÷0.9987×35.31467 = 2995657.1063 SCF/hr × GCV(474.8986 BTU/SCF) ÷ 1.109(HHV→LHV) ÷ (120.8418 MW × 1000) = 10615.5959 BTU/kWh</t>
  </si>
  <si>
    <t>10615.5959 ÷ CF_CIT(0.9892) ÷ CF_RH(1.0015) ÷ CF_SS(0.9999) ÷ CF_FT(0.9994) ÷ CF_InDP(0.9983) ÷ CF_ExhP(1) ÷ CF_ExhDP(0.9968) ÷ CF_Baro(1) ÷ CF_Fuel(1.0016) = 10757.299 BTU/kWh</t>
  </si>
  <si>
    <t>121.568 MW ÷ CF_CIT(1.0569) ÷ CF_RH(0.9998) ÷ CF_SS(1.0005) ÷ CF_FT(0.9999) ÷ CF_InDP(1.0004) ÷ CF_ExhP(1) ÷ CF_ExhDP(1.0032) ÷ CF_Baro(1.0009) ÷ CF_Fuel(0.9951) = 115.0487 MW</t>
  </si>
  <si>
    <t>FF(22.992 kg/s) ×3600÷0.9987×35.31467 = 2926846.8048 SCF/hr × GCV(474.8986 BTU/SCF) ÷ 1.109(HHV→LHV) ÷ (121.568 MW × 1000) = 10309.7933 BTU/kWh</t>
  </si>
  <si>
    <t>10309.7933 ÷ CF_CIT(0.9877) ÷ CF_RH(1.0019) ÷ CF_SS(0.9999) ÷ CF_FT(0.9991) ÷ CF_InDP(0.9999) ÷ CF_ExhP(1) ÷ CF_ExhDP(0.9968) ÷ CF_Baro(1) ÷ CF_Fuel(1.0016) = 10446.2623 BTU/kWh</t>
  </si>
  <si>
    <t>122.11 MW ÷ CF_CIT(1.0588) ÷ CF_RH(0.9998) ÷ CF_SS(1.0002) ÷ CF_FT(0.9999) ÷ CF_InDP(1.0002) ÷ CF_ExhP(1) ÷ CF_ExhDP(1.0032) ÷ CF_Baro(1.0005) ÷ CF_Fuel(0.9951) = 115.4528 MW</t>
  </si>
  <si>
    <t>FF(23.3745 kg/s) ×3600÷0.9987×35.31467 = 2975532.0474 SCF/hr × GCV(474.8986 BTU/SCF) ÷ 1.109(HHV→LHV) ÷ (122.11 MW × 1000) = 10434.7625 BTU/kWh</t>
  </si>
  <si>
    <t>10434.7625 ÷ CF_CIT(0.9874) ÷ CF_RH(1.0019) ÷ CF_SS(1) ÷ CF_FT(0.9991) ÷ CF_InDP(0.9999) ÷ CF_ExhP(1) ÷ CF_ExhDP(0.9968) ÷ CF_Baro(1) ÷ CF_Fuel(1.0016) = 10576.3371 BTU/kWh</t>
  </si>
  <si>
    <t>121.5191 MW ÷ CF_CIT(1.0591) ÷ CF_RH(0.9998) ÷ CF_SS(0.9976) ÷ CF_FT(0.9999) ÷ CF_InDP(1.0001) ÷ CF_ExhP(1) ÷ CF_ExhDP(1.0032) ÷ CF_Baro(0.9999) ÷ CF_Fuel(0.9951) = 115.2546 MW</t>
  </si>
  <si>
    <t>FF(23.1249 kg/s) ×3600÷0.9987×35.31467 = 2943761.4446 SCF/hr × GCV(474.8986 BTU/SCF) ÷ 1.109(HHV→LHV) ÷ (121.5191 MW × 1000) = 10373.5482 BTU/kWh</t>
  </si>
  <si>
    <t>10373.5482 ÷ CF_CIT(0.9873) ÷ CF_RH(1.0018) ÷ CF_SS(1.0005) ÷ CF_FT(0.999) ÷ CF_InDP(1) ÷ CF_ExhP(1) ÷ CF_ExhDP(0.9968) ÷ CF_Baro(1) ÷ CF_Fuel(1.0016) = 10509.7872 BTU/kWh</t>
  </si>
  <si>
    <t>121.6758 MW ÷ CF_CIT(1.0585) ÷ CF_RH(0.9998) ÷ CF_SS(1.0001) ÷ CF_FT(0.9999) ÷ CF_InDP(0.9999) ÷ CF_ExhP(1) ÷ CF_ExhDP(1.0032) ÷ CF_Baro(0.9997) ÷ CF_Fuel(0.9951) = 115.2101 MW</t>
  </si>
  <si>
    <t>FF(22.9491 kg/s) ×3600÷0.9987×35.31467 = 2921384.4473 SCF/hr × GCV(474.8986 BTU/SCF) ÷ 1.109(HHV→LHV) ÷ (121.6758 MW × 1000) = 10281.4418 BTU/kWh</t>
  </si>
  <si>
    <t>10281.4418 ÷ CF_CIT(0.9874) ÷ CF_RH(1.0019) ÷ CF_SS(1) ÷ CF_FT(0.999) ÷ CF_InDP(1) ÷ CF_ExhP(1) ÷ CF_ExhDP(0.9968) ÷ CF_Baro(1) ÷ CF_Fuel(1.0016) = 10420.0026 BTU/kWh</t>
  </si>
  <si>
    <t>121.7852 MW ÷ CF_CIT(1.0575) ÷ CF_RH(0.9998) ÷ CF_SS(1.0026) ÷ CF_FT(0.9999) ÷ CF_InDP(0.9999) ÷ CF_ExhP(1) ÷ CF_ExhDP(1.0032) ÷ CF_Baro(0.9996) ÷ CF_Fuel(0.9951) = 115.1484 MW</t>
  </si>
  <si>
    <t>FF(23.1886 kg/s) ×3600÷0.9987×35.31467 = 2951867.8197 SCF/hr × GCV(474.8986 BTU/SCF) ÷ 1.109(HHV→LHV) ÷ (121.7852 MW × 1000) = 10379.3842 BTU/kWh</t>
  </si>
  <si>
    <t>10379.3842 ÷ CF_CIT(0.9876) ÷ CF_RH(1.0019) ÷ CF_SS(0.9995) ÷ CF_FT(0.999) ÷ CF_InDP(1) ÷ CF_ExhP(1) ÷ CF_ExhDP(0.9968) ÷ CF_Baro(1) ÷ CF_Fuel(1.0016) = 10521.7403 BTU/kWh</t>
  </si>
  <si>
    <t>121.8555 MW ÷ CF_CIT(1.059) ÷ CF_RH(0.9998) ÷ CF_SS(1.002) ÷ CF_FT(0.9999) ÷ CF_InDP(0.9999) ÷ CF_ExhP(1) ÷ CF_ExhDP(1.0032) ÷ CF_Baro(0.9998) ÷ CF_Fuel(0.9951) = 115.102 MW</t>
  </si>
  <si>
    <t>FF(23.2899 kg/s) ×3600÷0.9987×35.31467 = 2964758.4831 SCF/hr × GCV(474.8986 BTU/SCF) ÷ 1.109(HHV→LHV) ÷ (121.8555 MW × 1000) = 10418.7007 BTU/kWh</t>
  </si>
  <si>
    <t>10418.7007 ÷ CF_CIT(0.9873) ÷ CF_RH(1.0019) ÷ CF_SS(0.9996) ÷ CF_FT(0.999) ÷ CF_InDP(1) ÷ CF_ExhP(1) ÷ CF_ExhDP(0.9968) ÷ CF_Baro(1) ÷ CF_Fuel(1.0016) = 10563.6368 BTU/kWh</t>
  </si>
  <si>
    <t>118.1835 MW ÷ CF_CIT(1.0375) ÷ CF_RH(0.9998) ÷ CF_SS(0.9982) ÷ CF_FT(0.9999) ÷ CF_InDP(1.002) ÷ CF_ExhP(1) ÷ CF_ExhDP(1.0032) ÷ CF_Baro(0.9985) ÷ CF_Fuel(0.9951) = 114.298 MW</t>
  </si>
  <si>
    <t>FF(22.3614 kg/s) ×3600÷0.9987×35.31467 = 2846573.2795 SCF/hr × GCV(474.8986 BTU/SCF) ÷ 1.109(HHV→LHV) ÷ (118.1835 MW × 1000) = 10314.1802 BTU/kWh</t>
  </si>
  <si>
    <t>10314.1802 ÷ CF_CIT(0.9916) ÷ CF_RH(1.0015) ÷ CF_SS(1.0004) ÷ CF_FT(0.9993) ÷ CF_InDP(0.9994) ÷ CF_ExhP(1) ÷ CF_ExhDP(0.9968) ÷ CF_Baro(1) ÷ CF_Fuel(1.0016) = 10412.0395 BTU/kWh</t>
  </si>
  <si>
    <t>119.2265 MW ÷ CF_CIT(1.0411) ÷ CF_RH(0.9998) ÷ CF_SS(1.0022) ÷ CF_FT(0.9999) ÷ CF_InDP(1.0017) ÷ CF_ExhP(1) ÷ CF_ExhDP(1.0032) ÷ CF_Baro(0.9989) ÷ CF_Fuel(0.9951) = 114.4263 MW</t>
  </si>
  <si>
    <t>FF(22.1123 kg/s) ×3600÷0.9987×35.31467 = 2814854.3812 SCF/hr × GCV(474.8986 BTU/SCF) ÷ 1.109(HHV→LHV) ÷ (119.2265 MW × 1000) = 10110.0289 BTU/kWh</t>
  </si>
  <si>
    <t>10110.0289 ÷ CF_CIT(0.9908) ÷ CF_RH(1.0015) ÷ CF_SS(0.9996) ÷ CF_FT(0.9992) ÷ CF_InDP(0.9994) ÷ CF_ExhP(1) ÷ CF_ExhDP(0.9968) ÷ CF_Baro(1) ÷ CF_Fuel(1.0016) = 10223.0503 BTU/kWh</t>
  </si>
  <si>
    <t>119.5447 MW ÷ CF_CIT(1.0431) ÷ CF_RH(0.9998) ÷ CF_SS(1.0026) ÷ CF_FT(0.9999) ÷ CF_InDP(1.0016) ÷ CF_ExhP(1) ÷ CF_ExhDP(1.0032) ÷ CF_Baro(0.9993) ÷ CF_Fuel(0.9951) = 114.4281 MW</t>
  </si>
  <si>
    <t>FF(22.5026 kg/s) ×3600÷0.9987×35.31467 = 2864542.9229 SCF/hr × GCV(474.8986 BTU/SCF) ÷ 1.109(HHV→LHV) ÷ (119.5447 MW × 1000) = 10261.1133 BTU/kWh</t>
  </si>
  <si>
    <t>10261.1133 ÷ CF_CIT(0.9904) ÷ CF_RH(1.0015) ÷ CF_SS(0.9995) ÷ CF_FT(0.9993) ÷ CF_InDP(0.9995) ÷ CF_ExhP(1) ÷ CF_ExhDP(0.9968) ÷ CF_Baro(1) ÷ CF_Fuel(1.0016) = 10379.2907 BTU/kWh</t>
  </si>
  <si>
    <t>118.4643 MW ÷ CF_CIT(1.0447) ÷ CF_RH(0.9998) ÷ CF_SS(0.9985) ÷ CF_FT(0.9999) ÷ CF_InDP(1.0017) ÷ CF_ExhP(1) ÷ CF_ExhDP(1.0032) ÷ CF_Baro(0.9994) ÷ CF_Fuel(0.9951) = 113.6773 MW</t>
  </si>
  <si>
    <t>FF(22.3751 kg/s) ×3600÷0.9987×35.31467 = 2848315.9393 SCF/hr × GCV(474.8986 BTU/SCF) ÷ 1.109(HHV→LHV) ÷ (118.4643 MW × 1000) = 10296.0373 BTU/kWh</t>
  </si>
  <si>
    <t>10296.0373 ÷ CF_CIT(0.9901) ÷ CF_RH(1.0014) ÷ CF_SS(1.0003) ÷ CF_FT(0.9993) ÷ CF_InDP(0.9994) ÷ CF_ExhP(1) ÷ CF_ExhDP(0.9968) ÷ CF_Baro(1) ÷ CF_Fuel(1.0016) = 10410.1159 BTU/kWh</t>
  </si>
  <si>
    <t>119.3846 MW ÷ CF_CIT(1.048) ÷ CF_RH(0.9998) ÷ CF_SS(1.0003) ÷ CF_FT(0.9999) ÷ CF_InDP(1.0015) ÷ CF_ExhP(1) ÷ CF_ExhDP(1.0032) ÷ CF_Baro(0.9993) ÷ CF_Fuel(0.9951) = 114.0173 MW</t>
  </si>
  <si>
    <t>FF(22.8576 kg/s) ×3600÷0.9987×35.31467 = 2909739.7869 SCF/hr × GCV(474.8986 BTU/SCF) ÷ 1.109(HHV→LHV) ÷ (119.3846 MW × 1000) = 10436.987 BTU/kWh</t>
  </si>
  <si>
    <t>10436.987 ÷ CF_CIT(0.9895) ÷ CF_RH(1.0015) ÷ CF_SS(0.9999) ÷ CF_FT(0.9994) ÷ CF_InDP(0.9995) ÷ CF_ExhP(1) ÷ CF_ExhDP(0.9968) ÷ CF_Baro(1) ÷ CF_Fuel(1.0016) = 10561.9323 BTU/kWh</t>
  </si>
  <si>
    <t>MW_CIT</t>
  </si>
  <si>
    <t>MW_RH</t>
  </si>
  <si>
    <t>MW_SS</t>
  </si>
  <si>
    <t>MW_FuelTemp</t>
  </si>
  <si>
    <t>MW_InletDP</t>
  </si>
  <si>
    <t>MW_ExhPress</t>
  </si>
  <si>
    <t>MW_ExhDP</t>
  </si>
  <si>
    <t>MW_BaroPress</t>
  </si>
  <si>
    <t>MW_FuelComp</t>
  </si>
  <si>
    <t>HR_CIT</t>
  </si>
  <si>
    <t>HR_RH</t>
  </si>
  <si>
    <t>HR_SS</t>
  </si>
  <si>
    <t>HR_FuelTemp</t>
  </si>
  <si>
    <t>HR_InletDP</t>
  </si>
  <si>
    <t>HR_ExhPress</t>
  </si>
  <si>
    <t>HR_ExhDP</t>
  </si>
  <si>
    <t>HR_BaroPress</t>
  </si>
  <si>
    <t>HR_FuelComp</t>
  </si>
  <si>
    <t>MW Impact CIT</t>
  </si>
  <si>
    <t>MW Impact RH</t>
  </si>
  <si>
    <t>MW Impact SS</t>
  </si>
  <si>
    <t>MW Impact FuelTemp</t>
  </si>
  <si>
    <t>MW Impact InletDP</t>
  </si>
  <si>
    <t>MW Impact ExhPress</t>
  </si>
  <si>
    <t>MW Impact ExhDP</t>
  </si>
  <si>
    <t>MW Impact BaroPress</t>
  </si>
  <si>
    <t>MW Impact FuelComp</t>
  </si>
  <si>
    <t>HR Impact CIT (BTU/kWh)</t>
  </si>
  <si>
    <t>HR Impact RH (BTU/kWh)</t>
  </si>
  <si>
    <t>HR Impact SS (BTU/kWh)</t>
  </si>
  <si>
    <t>HR Impact FuelTemp (BTU/kWh)</t>
  </si>
  <si>
    <t>HR Impact InletDP (BTU/kWh)</t>
  </si>
  <si>
    <t>HR Impact ExhPress (BTU/kWh)</t>
  </si>
  <si>
    <t>HR Impact ExhDP (BTU/kWh)</t>
  </si>
  <si>
    <t>HR Impact BaroPress (BTU/kWh)</t>
  </si>
  <si>
    <t>HR Impact FuelComp (BTU/kWh)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</si>
</sst>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_(* #,##0.00_);_(* \(#,##0.00\);_(* &quot;-&quot;??_);_(@_)"/>
    <numFmt numFmtId="165" formatCode="#,##0.0000"/>
    <numFmt numFmtId="166" formatCode="#,##0.0"/>
    <numFmt numFmtId="167" formatCode="m/d/yyyy\ h:mm"/>
    <numFmt numFmtId="168" formatCode="m/d/yyyy"/>
    <numFmt numFmtId="169" formatCode="[$]dd\-mmm\-yyyy;@" x16r2:formatCode16="[$-en-PK,1]dd\-mmm\-yyyy;@"/>
    <numFmt numFmtId="170" formatCode="0.0000"/>
    <numFmt numFmtId="171" formatCode="0.0%"/>
    <numFmt numFmtId="172" formatCode="dd\.mmm\.yy\ \ hh:mm"/>
    <numFmt numFmtId="173" formatCode="#,##0.000000"/>
    <numFmt numFmtId="174" formatCode="dd\.mmm\.yy\ \ \ hh:mm"/>
    <numFmt numFmtId="175" formatCode="#,##0.00\ &quot;hrs&quot;"/>
  </numFmts>
  <fonts count="19" x14ac:knownFonts="1">
    <font>
      <sz val="10"/>
      <color rgb="FF000000"/>
      <name val="Arial"/>
      <scheme val="minor"/>
    </font>
    <font>
      <sz val="11"/>
      <color theme="1"/>
      <name val="Arial"/>
      <family val="2"/>
      <scheme val="minor"/>
    </font>
    <font>
      <sz val="10"/>
      <color rgb="FF000000"/>
      <name val="Arial"/>
      <family val="2"/>
      <scheme val="minor"/>
    </font>
    <font>
      <b/>
      <sz val="10"/>
      <color rgb="FF000000"/>
      <name val="Arial"/>
      <family val="2"/>
      <scheme val="minor"/>
    </font>
    <font>
      <sz val="8"/>
      <name val="Arial"/>
      <family val="2"/>
      <scheme val="minor"/>
    </font>
    <font>
      <b/>
      <sz val="13.3"/>
      <color theme="0"/>
      <name val="Arial"/>
      <family val="2"/>
      <scheme val="minor"/>
    </font>
    <font>
      <b/>
      <sz val="7.7"/>
      <color theme="0"/>
      <name val="Arial"/>
      <family val="2"/>
      <scheme val="minor"/>
    </font>
    <font>
      <b/>
      <sz val="1"/>
      <color theme="0"/>
      <name val="Arial"/>
      <family val="2"/>
      <scheme val="minor"/>
    </font>
    <font>
      <b/>
      <sz val="13.5"/>
      <color theme="0"/>
      <name val="Arial"/>
      <family val="2"/>
      <scheme val="minor"/>
    </font>
    <font>
      <sz val="13.5"/>
      <color rgb="FF000000"/>
      <name val="Arial"/>
      <family val="2"/>
      <scheme val="minor"/>
    </font>
    <font>
      <b/>
      <vertAlign val="subscript"/>
      <sz val="13.5"/>
      <color theme="0"/>
      <name val="Arial"/>
      <family val="2"/>
      <scheme val="minor"/>
    </font>
    <font>
      <b/>
      <sz val="15"/>
      <color theme="3"/>
      <name val="Arial"/>
      <family val="2"/>
      <scheme val="minor"/>
    </font>
    <font>
      <sz val="10"/>
      <color rgb="FF000000"/>
      <name val="Arial"/>
      <family val="2"/>
      <scheme val="minor"/>
    </font>
    <font>
      <sz val="8"/>
      <name val="Arial"/>
      <family val="2"/>
      <scheme val="minor"/>
    </font>
    <font>
      <sz val="10"/>
      <color theme="1"/>
      <name val="Arial"/>
      <family val="2"/>
      <scheme val="minor"/>
    </font>
    <font>
      <sz val="10"/>
      <color theme="0"/>
      <name val="Arial"/>
      <family val="2"/>
      <scheme val="minor"/>
    </font>
    <font>
      <u/>
      <sz val="10"/>
      <color theme="10"/>
      <name val="Arial"/>
      <family val="2"/>
      <scheme val="minor"/>
    </font>
    <font>
      <b/>
      <sz val="24"/>
      <color theme="1"/>
      <name val="Arial"/>
      <family val="2"/>
      <scheme val="minor"/>
    </font>
    <font>
      <sz val="24"/>
      <color theme="1"/>
      <name val="Arial"/>
      <family val="2"/>
      <scheme val="minor"/>
    </font>
  </fonts>
  <fills count="8">
    <fill>
      <patternFill patternType="none"/>
    </fill>
    <fill>
      <patternFill patternType="gray125"/>
    </fill>
    <fill>
      <patternFill patternType="solid">
        <fgColor theme="4" tint="0.79998168889431442"/>
        <bgColor indexed="64"/>
      </patternFill>
    </fill>
    <fill>
      <patternFill patternType="solid">
        <fgColor rgb="FF002060"/>
        <bgColor indexed="64"/>
      </patternFill>
    </fill>
    <fill>
      <patternFill patternType="solid">
        <fgColor rgb="FFFFFF00"/>
        <bgColor indexed="64"/>
      </patternFill>
    </fill>
    <fill>
      <patternFill patternType="solid">
        <fgColor rgb="FFFFFFC8"/>
        <bgColor indexed="64"/>
      </patternFill>
    </fill>
    <fill>
      <patternFill patternType="solid">
        <fgColor theme="4"/>
        <bgColor indexed="64"/>
      </patternFill>
    </fill>
    <fill>
      <patternFill patternType="solid">
        <fgColor rgb="FFFFC000"/>
        <bgColor indexed="64"/>
      </patternFill>
    </fill>
  </fills>
  <borders count="43">
    <border>
      <left/>
      <right/>
      <top/>
      <bottom/>
      <diagonal/>
    </border>
    <border>
      <left style="hair">
        <color rgb="FF7030A0"/>
      </left>
      <right style="hair">
        <color rgb="FF7030A0"/>
      </right>
      <top style="hair">
        <color rgb="FF7030A0"/>
      </top>
      <bottom style="hair">
        <color rgb="FF7030A0"/>
      </bottom>
      <diagonal/>
    </border>
    <border>
      <left style="medium">
        <color rgb="FF7030A0"/>
      </left>
      <right style="hair">
        <color rgb="FF7030A0"/>
      </right>
      <top style="medium">
        <color rgb="FF7030A0"/>
      </top>
      <bottom style="hair">
        <color rgb="FF7030A0"/>
      </bottom>
      <diagonal/>
    </border>
    <border>
      <left style="hair">
        <color rgb="FF7030A0"/>
      </left>
      <right style="hair">
        <color rgb="FF7030A0"/>
      </right>
      <top style="medium">
        <color rgb="FF7030A0"/>
      </top>
      <bottom style="hair">
        <color rgb="FF7030A0"/>
      </bottom>
      <diagonal/>
    </border>
    <border>
      <left style="hair">
        <color rgb="FF7030A0"/>
      </left>
      <right style="medium">
        <color rgb="FF7030A0"/>
      </right>
      <top style="medium">
        <color rgb="FF7030A0"/>
      </top>
      <bottom style="hair">
        <color rgb="FF7030A0"/>
      </bottom>
      <diagonal/>
    </border>
    <border>
      <left style="medium">
        <color rgb="FF7030A0"/>
      </left>
      <right style="hair">
        <color rgb="FF7030A0"/>
      </right>
      <top style="hair">
        <color rgb="FF7030A0"/>
      </top>
      <bottom style="hair">
        <color rgb="FF7030A0"/>
      </bottom>
      <diagonal/>
    </border>
    <border>
      <left style="hair">
        <color rgb="FF7030A0"/>
      </left>
      <right style="medium">
        <color rgb="FF7030A0"/>
      </right>
      <top style="hair">
        <color rgb="FF7030A0"/>
      </top>
      <bottom style="hair">
        <color rgb="FF7030A0"/>
      </bottom>
      <diagonal/>
    </border>
    <border>
      <left style="medium">
        <color rgb="FF7030A0"/>
      </left>
      <right style="hair">
        <color rgb="FF7030A0"/>
      </right>
      <top style="hair">
        <color rgb="FF7030A0"/>
      </top>
      <bottom style="medium">
        <color rgb="FF7030A0"/>
      </bottom>
      <diagonal/>
    </border>
    <border>
      <left style="hair">
        <color rgb="FF7030A0"/>
      </left>
      <right style="hair">
        <color rgb="FF7030A0"/>
      </right>
      <top style="hair">
        <color rgb="FF7030A0"/>
      </top>
      <bottom style="medium">
        <color rgb="FF7030A0"/>
      </bottom>
      <diagonal/>
    </border>
    <border>
      <left style="hair">
        <color rgb="FF7030A0"/>
      </left>
      <right style="medium">
        <color rgb="FF7030A0"/>
      </right>
      <top style="hair">
        <color rgb="FF7030A0"/>
      </top>
      <bottom style="medium">
        <color rgb="FF7030A0"/>
      </bottom>
      <diagonal/>
    </border>
    <border>
      <left style="medium">
        <color rgb="FF7030A0"/>
      </left>
      <right style="hair">
        <color rgb="FF7030A0"/>
      </right>
      <top/>
      <bottom style="hair">
        <color rgb="FF7030A0"/>
      </bottom>
      <diagonal/>
    </border>
    <border>
      <left style="hair">
        <color rgb="FF7030A0"/>
      </left>
      <right style="hair">
        <color rgb="FF7030A0"/>
      </right>
      <top/>
      <bottom style="hair">
        <color rgb="FF7030A0"/>
      </bottom>
      <diagonal/>
    </border>
    <border>
      <left style="hair">
        <color rgb="FF7030A0"/>
      </left>
      <right style="medium">
        <color rgb="FF7030A0"/>
      </right>
      <top/>
      <bottom style="hair">
        <color rgb="FF7030A0"/>
      </bottom>
      <diagonal/>
    </border>
    <border>
      <left style="medium">
        <color rgb="FF7030A0"/>
      </left>
      <right/>
      <top/>
      <bottom/>
      <diagonal/>
    </border>
    <border>
      <left/>
      <right style="medium">
        <color rgb="FF7030A0"/>
      </right>
      <top/>
      <bottom/>
      <diagonal/>
    </border>
    <border>
      <left/>
      <right/>
      <top/>
      <bottom style="thick">
        <color theme="4"/>
      </bottom>
      <diagonal/>
    </border>
    <border>
      <left style="hair">
        <color rgb="FF7030A0"/>
      </left>
      <right style="hair">
        <color rgb="FF7030A0"/>
      </right>
      <top style="medium">
        <color indexed="64"/>
      </top>
      <bottom style="hair">
        <color rgb="FF7030A0"/>
      </bottom>
      <diagonal/>
    </border>
    <border>
      <left style="hair">
        <color rgb="FF7030A0"/>
      </left>
      <right style="medium">
        <color rgb="FF7030A0"/>
      </right>
      <top style="medium">
        <color indexed="64"/>
      </top>
      <bottom style="hair">
        <color rgb="FF7030A0"/>
      </bottom>
      <diagonal/>
    </border>
    <border>
      <left style="medium">
        <color rgb="FF7030A0"/>
      </left>
      <right/>
      <top style="medium">
        <color indexed="64"/>
      </top>
      <bottom/>
      <diagonal/>
    </border>
    <border>
      <left/>
      <right/>
      <top style="medium">
        <color indexed="64"/>
      </top>
      <bottom/>
      <diagonal/>
    </border>
    <border>
      <left/>
      <right style="medium">
        <color rgb="FF7030A0"/>
      </right>
      <top style="medium">
        <color indexed="64"/>
      </top>
      <bottom style="thin">
        <color indexed="64"/>
      </bottom>
      <diagonal/>
    </border>
    <border>
      <left/>
      <right style="hair">
        <color rgb="FF7030A0"/>
      </right>
      <top style="medium">
        <color indexed="64"/>
      </top>
      <bottom style="hair">
        <color rgb="FF7030A0"/>
      </bottom>
      <diagonal/>
    </border>
    <border>
      <left/>
      <right style="hair">
        <color rgb="FF7030A0"/>
      </right>
      <top style="hair">
        <color rgb="FF7030A0"/>
      </top>
      <bottom style="hair">
        <color rgb="FF7030A0"/>
      </bottom>
      <diagonal/>
    </border>
    <border>
      <left/>
      <right style="hair">
        <color rgb="FF7030A0"/>
      </right>
      <top style="hair">
        <color rgb="FF7030A0"/>
      </top>
      <bottom/>
      <diagonal/>
    </border>
    <border>
      <left style="hair">
        <color rgb="FF7030A0"/>
      </left>
      <right style="hair">
        <color rgb="FF7030A0"/>
      </right>
      <top style="hair">
        <color rgb="FF7030A0"/>
      </top>
      <bottom/>
      <diagonal/>
    </border>
    <border>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bottom style="thin">
        <color rgb="FF000000"/>
      </bottom>
      <diagonal/>
    </border>
    <border>
      <left style="thin">
        <color theme="6"/>
      </left>
      <right/>
      <top/>
      <bottom/>
      <diagonal/>
    </border>
    <border>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hair">
        <color rgb="FF7030A0"/>
      </left>
      <right style="medium">
        <color rgb="FF7030A0"/>
      </right>
      <top style="hair">
        <color rgb="FF7030A0"/>
      </top>
      <bottom/>
      <diagonal/>
    </border>
  </borders>
  <cellStyleXfs count="5">
    <xf numFmtId="0" fontId="0" fillId="0" borderId="0"/>
    <xf numFmtId="164" fontId="2" fillId="0" borderId="0" applyFont="0" applyFill="0" applyBorder="0" applyAlignment="0" applyProtection="0"/>
    <xf numFmtId="0" fontId="11" fillId="0" borderId="15" applyNumberFormat="0" applyFill="0" applyAlignment="0" applyProtection="0"/>
    <xf numFmtId="9" fontId="12" fillId="0" borderId="0" applyFont="0" applyFill="0" applyBorder="0" applyAlignment="0" applyProtection="0"/>
    <xf numFmtId="0" fontId="16" fillId="0" borderId="0" applyNumberFormat="0" applyFill="0" applyBorder="0" applyAlignment="0" applyProtection="0"/>
  </cellStyleXfs>
  <cellXfs count="127">
    <xf numFmtId="0" fontId="0" fillId="0" borderId="0" xfId="0"/>
    <xf numFmtId="164" fontId="0" fillId="0" borderId="0" xfId="1" applyFont="1"/>
    <xf numFmtId="164" fontId="2" fillId="0" borderId="0" xfId="1" applyFont="1"/>
    <xf numFmtId="0" fontId="0" fillId="0" borderId="0" xfId="0" applyAlignment="1">
      <alignment horizontal="center" vertical="center"/>
    </xf>
    <xf numFmtId="165" fontId="0" fillId="0" borderId="0" xfId="0" applyNumberFormat="1" applyAlignment="1">
      <alignment horizontal="center" vertical="center"/>
    </xf>
    <xf numFmtId="166" fontId="0" fillId="0" borderId="0" xfId="0" applyNumberFormat="1" applyAlignment="1">
      <alignment horizontal="center" vertical="center"/>
    </xf>
    <xf numFmtId="3" fontId="0" fillId="0" borderId="6" xfId="0" applyNumberFormat="1" applyBorder="1" applyAlignment="1">
      <alignment horizontal="center" vertical="center"/>
    </xf>
    <xf numFmtId="3" fontId="0" fillId="0" borderId="0" xfId="0" applyNumberFormat="1" applyAlignment="1">
      <alignment horizontal="center" vertical="center"/>
    </xf>
    <xf numFmtId="0" fontId="0" fillId="0" borderId="0" xfId="0" applyAlignment="1">
      <alignment horizontal="center"/>
    </xf>
    <xf numFmtId="3" fontId="0" fillId="0" borderId="1" xfId="0" applyNumberFormat="1" applyBorder="1" applyAlignment="1">
      <alignment horizontal="center" vertical="center"/>
    </xf>
    <xf numFmtId="3" fontId="0" fillId="0" borderId="1" xfId="0" applyNumberFormat="1" applyBorder="1" applyAlignment="1">
      <alignment horizontal="center"/>
    </xf>
    <xf numFmtId="0" fontId="0" fillId="0" borderId="5" xfId="0" applyBorder="1" applyAlignment="1">
      <alignment horizontal="center" vertical="center"/>
    </xf>
    <xf numFmtId="0" fontId="0" fillId="0" borderId="5" xfId="0" applyBorder="1" applyAlignment="1">
      <alignment horizontal="center"/>
    </xf>
    <xf numFmtId="3" fontId="0" fillId="0" borderId="6" xfId="0" applyNumberFormat="1" applyBorder="1" applyAlignment="1">
      <alignment horizontal="center"/>
    </xf>
    <xf numFmtId="0" fontId="0" fillId="0" borderId="7" xfId="0" applyBorder="1" applyAlignment="1">
      <alignment horizontal="center"/>
    </xf>
    <xf numFmtId="165" fontId="0" fillId="0" borderId="8" xfId="0" applyNumberFormat="1" applyBorder="1" applyAlignment="1">
      <alignment horizontal="center"/>
    </xf>
    <xf numFmtId="165" fontId="0" fillId="0" borderId="9" xfId="0" applyNumberFormat="1" applyBorder="1" applyAlignment="1">
      <alignment horizontal="center"/>
    </xf>
    <xf numFmtId="0" fontId="0" fillId="0" borderId="10" xfId="0" applyBorder="1" applyAlignment="1">
      <alignment horizontal="center" vertical="center"/>
    </xf>
    <xf numFmtId="3" fontId="0" fillId="0" borderId="11" xfId="0" applyNumberFormat="1" applyBorder="1" applyAlignment="1">
      <alignment horizontal="center" vertical="center"/>
    </xf>
    <xf numFmtId="3" fontId="0" fillId="0" borderId="12" xfId="0" applyNumberFormat="1" applyBorder="1" applyAlignment="1">
      <alignment horizontal="center" vertical="center"/>
    </xf>
    <xf numFmtId="0" fontId="5" fillId="3" borderId="8" xfId="0" applyFont="1" applyFill="1" applyBorder="1" applyAlignment="1">
      <alignment horizontal="center" vertical="center" wrapText="1"/>
    </xf>
    <xf numFmtId="0" fontId="5" fillId="3" borderId="9" xfId="0" applyFont="1" applyFill="1" applyBorder="1" applyAlignment="1">
      <alignment horizontal="center" vertical="center" wrapText="1"/>
    </xf>
    <xf numFmtId="0" fontId="8" fillId="3" borderId="7" xfId="0" applyFont="1" applyFill="1" applyBorder="1" applyAlignment="1">
      <alignment horizontal="center" vertical="center"/>
    </xf>
    <xf numFmtId="0" fontId="8" fillId="3" borderId="2" xfId="0" applyFont="1" applyFill="1" applyBorder="1" applyAlignment="1">
      <alignment horizontal="center" vertical="center" wrapText="1"/>
    </xf>
    <xf numFmtId="165" fontId="8" fillId="3" borderId="3" xfId="0" applyNumberFormat="1" applyFont="1" applyFill="1" applyBorder="1" applyAlignment="1">
      <alignment horizontal="center" vertical="center" wrapText="1"/>
    </xf>
    <xf numFmtId="165" fontId="8" fillId="3" borderId="4" xfId="0" applyNumberFormat="1" applyFont="1" applyFill="1" applyBorder="1" applyAlignment="1">
      <alignment horizontal="center" vertical="center" wrapText="1"/>
    </xf>
    <xf numFmtId="166" fontId="9" fillId="0" borderId="0" xfId="0" applyNumberFormat="1" applyFont="1" applyAlignment="1">
      <alignment horizontal="center" vertical="center" wrapText="1"/>
    </xf>
    <xf numFmtId="165" fontId="9" fillId="0" borderId="0" xfId="0" applyNumberFormat="1" applyFont="1" applyAlignment="1">
      <alignment horizontal="center" vertical="center" wrapText="1"/>
    </xf>
    <xf numFmtId="3" fontId="9" fillId="0" borderId="0" xfId="0" applyNumberFormat="1" applyFont="1" applyAlignment="1">
      <alignment horizontal="center" vertical="center" wrapText="1"/>
    </xf>
    <xf numFmtId="0" fontId="9" fillId="0" borderId="0" xfId="0" applyFont="1" applyAlignment="1">
      <alignment horizontal="center" wrapText="1"/>
    </xf>
    <xf numFmtId="0" fontId="2" fillId="0" borderId="0" xfId="0" applyFont="1"/>
    <xf numFmtId="164" fontId="11" fillId="4" borderId="15" xfId="2" applyNumberFormat="1" applyFill="1" applyAlignment="1">
      <alignment horizontal="center" vertical="center" wrapText="1"/>
    </xf>
    <xf numFmtId="0" fontId="11" fillId="4" borderId="15" xfId="2" applyFill="1" applyAlignment="1">
      <alignment horizontal="center" vertical="center"/>
    </xf>
    <xf numFmtId="0" fontId="2" fillId="0" borderId="0" xfId="0" applyFont="1" applyAlignment="1">
      <alignment horizontal="center" vertical="center"/>
    </xf>
    <xf numFmtId="168" fontId="0" fillId="0" borderId="0" xfId="0" applyNumberFormat="1"/>
    <xf numFmtId="167" fontId="0" fillId="0" borderId="0" xfId="0" applyNumberFormat="1"/>
    <xf numFmtId="16" fontId="0" fillId="0" borderId="0" xfId="0" applyNumberFormat="1"/>
    <xf numFmtId="165" fontId="3" fillId="2" borderId="16" xfId="0" applyNumberFormat="1" applyFont="1" applyFill="1" applyBorder="1" applyAlignment="1">
      <alignment horizontal="center" vertical="center" wrapText="1"/>
    </xf>
    <xf numFmtId="166" fontId="3" fillId="2" borderId="16" xfId="0" applyNumberFormat="1" applyFont="1" applyFill="1" applyBorder="1" applyAlignment="1">
      <alignment horizontal="center" vertical="center" wrapText="1"/>
    </xf>
    <xf numFmtId="3" fontId="3" fillId="2" borderId="17" xfId="0" applyNumberFormat="1" applyFont="1" applyFill="1" applyBorder="1" applyAlignment="1">
      <alignment horizontal="center" vertical="center" wrapText="1"/>
    </xf>
    <xf numFmtId="3" fontId="3" fillId="2" borderId="18" xfId="0" applyNumberFormat="1" applyFont="1" applyFill="1" applyBorder="1" applyAlignment="1">
      <alignment horizontal="center" vertical="center" wrapText="1"/>
    </xf>
    <xf numFmtId="3" fontId="3" fillId="2" borderId="19" xfId="0" applyNumberFormat="1" applyFont="1" applyFill="1" applyBorder="1" applyAlignment="1">
      <alignment horizontal="center" vertical="center" wrapText="1"/>
    </xf>
    <xf numFmtId="170" fontId="2" fillId="0" borderId="1" xfId="0" applyNumberFormat="1" applyFont="1" applyBorder="1" applyAlignment="1">
      <alignment horizontal="center" vertical="center"/>
    </xf>
    <xf numFmtId="166" fontId="2" fillId="0" borderId="1" xfId="0" applyNumberFormat="1" applyFont="1" applyBorder="1" applyAlignment="1">
      <alignment horizontal="center" vertical="center"/>
    </xf>
    <xf numFmtId="165" fontId="2" fillId="0" borderId="1" xfId="0" applyNumberFormat="1" applyFont="1" applyBorder="1" applyAlignment="1">
      <alignment horizontal="center" vertical="center"/>
    </xf>
    <xf numFmtId="3" fontId="2" fillId="0" borderId="6" xfId="0" applyNumberFormat="1" applyFont="1" applyBorder="1" applyAlignment="1">
      <alignment horizontal="center" vertical="center"/>
    </xf>
    <xf numFmtId="165" fontId="2" fillId="0" borderId="13" xfId="0" applyNumberFormat="1" applyFont="1" applyBorder="1" applyAlignment="1">
      <alignment horizontal="center" vertical="center"/>
    </xf>
    <xf numFmtId="165" fontId="2" fillId="0" borderId="0" xfId="0" applyNumberFormat="1" applyFont="1" applyAlignment="1">
      <alignment horizontal="center" vertical="center"/>
    </xf>
    <xf numFmtId="0" fontId="2" fillId="0" borderId="1" xfId="0" applyFont="1" applyBorder="1" applyAlignment="1">
      <alignment horizontal="center" vertical="center"/>
    </xf>
    <xf numFmtId="166" fontId="2" fillId="0" borderId="0" xfId="0" applyNumberFormat="1" applyFont="1" applyAlignment="1">
      <alignment horizontal="center" vertical="center"/>
    </xf>
    <xf numFmtId="3" fontId="2" fillId="0" borderId="0" xfId="0" applyNumberFormat="1" applyFont="1" applyAlignment="1">
      <alignment horizontal="center" vertical="center"/>
    </xf>
    <xf numFmtId="0" fontId="3" fillId="2" borderId="21" xfId="0" applyFont="1" applyFill="1" applyBorder="1" applyAlignment="1">
      <alignment horizontal="center" vertical="center" wrapText="1"/>
    </xf>
    <xf numFmtId="169" fontId="2" fillId="0" borderId="22" xfId="0" applyNumberFormat="1" applyFont="1" applyBorder="1" applyAlignment="1">
      <alignment horizontal="center" vertical="center"/>
    </xf>
    <xf numFmtId="0" fontId="0" fillId="5" borderId="0" xfId="0" applyFill="1"/>
    <xf numFmtId="171" fontId="0" fillId="0" borderId="0" xfId="3" applyNumberFormat="1" applyFont="1"/>
    <xf numFmtId="169" fontId="2" fillId="0" borderId="23" xfId="0" applyNumberFormat="1" applyFont="1" applyBorder="1" applyAlignment="1">
      <alignment horizontal="center" vertical="center"/>
    </xf>
    <xf numFmtId="170" fontId="2" fillId="0" borderId="24" xfId="0" applyNumberFormat="1" applyFont="1" applyBorder="1" applyAlignment="1">
      <alignment horizontal="center" vertical="center"/>
    </xf>
    <xf numFmtId="166" fontId="2" fillId="0" borderId="24" xfId="0" applyNumberFormat="1" applyFont="1" applyBorder="1" applyAlignment="1">
      <alignment horizontal="center" vertical="center"/>
    </xf>
    <xf numFmtId="0" fontId="2" fillId="0" borderId="24" xfId="0" applyFont="1" applyBorder="1" applyAlignment="1">
      <alignment horizontal="center" vertical="center"/>
    </xf>
    <xf numFmtId="173" fontId="9" fillId="0" borderId="0" xfId="0" applyNumberFormat="1" applyFont="1" applyAlignment="1">
      <alignment horizontal="center" wrapText="1"/>
    </xf>
    <xf numFmtId="173" fontId="0" fillId="0" borderId="0" xfId="0" applyNumberFormat="1" applyAlignment="1">
      <alignment horizontal="center"/>
    </xf>
    <xf numFmtId="173" fontId="0" fillId="0" borderId="0" xfId="0" applyNumberFormat="1"/>
    <xf numFmtId="173" fontId="3" fillId="2" borderId="20" xfId="0" applyNumberFormat="1" applyFont="1" applyFill="1" applyBorder="1" applyAlignment="1">
      <alignment horizontal="center" vertical="center" wrapText="1"/>
    </xf>
    <xf numFmtId="173" fontId="2" fillId="0" borderId="14" xfId="0" applyNumberFormat="1" applyFont="1" applyBorder="1" applyAlignment="1">
      <alignment horizontal="center" vertical="center"/>
    </xf>
    <xf numFmtId="173" fontId="2" fillId="0" borderId="0" xfId="0" applyNumberFormat="1" applyFont="1" applyAlignment="1">
      <alignment horizontal="center"/>
    </xf>
    <xf numFmtId="0" fontId="14" fillId="0" borderId="0" xfId="0" applyFont="1" applyAlignment="1">
      <alignment horizontal="center"/>
    </xf>
    <xf numFmtId="169" fontId="14" fillId="0" borderId="0" xfId="0" applyNumberFormat="1" applyFont="1" applyAlignment="1">
      <alignment horizontal="center"/>
    </xf>
    <xf numFmtId="2" fontId="14" fillId="0" borderId="0" xfId="0" applyNumberFormat="1" applyFont="1" applyAlignment="1">
      <alignment horizontal="center"/>
    </xf>
    <xf numFmtId="4" fontId="14" fillId="0" borderId="0" xfId="0" applyNumberFormat="1" applyFont="1" applyAlignment="1">
      <alignment horizontal="center"/>
    </xf>
    <xf numFmtId="171" fontId="14" fillId="0" borderId="0" xfId="0" applyNumberFormat="1" applyFont="1" applyAlignment="1">
      <alignment horizontal="center"/>
    </xf>
    <xf numFmtId="0" fontId="14" fillId="0" borderId="0" xfId="0" applyFont="1" applyAlignment="1">
      <alignment horizontal="center" vertical="center" wrapText="1"/>
    </xf>
    <xf numFmtId="0" fontId="15" fillId="6" borderId="0" xfId="0" applyFont="1" applyFill="1" applyAlignment="1">
      <alignment horizontal="center" vertical="center" wrapText="1"/>
    </xf>
    <xf numFmtId="169" fontId="15" fillId="6" borderId="0" xfId="0" applyNumberFormat="1" applyFont="1" applyFill="1" applyAlignment="1">
      <alignment horizontal="center" vertical="center" wrapText="1"/>
    </xf>
    <xf numFmtId="2" fontId="15" fillId="6" borderId="0" xfId="0" applyNumberFormat="1" applyFont="1" applyFill="1" applyAlignment="1">
      <alignment horizontal="center" vertical="center" wrapText="1"/>
    </xf>
    <xf numFmtId="4" fontId="15" fillId="6" borderId="0" xfId="0" applyNumberFormat="1" applyFont="1" applyFill="1" applyAlignment="1">
      <alignment horizontal="center" vertical="center" wrapText="1"/>
    </xf>
    <xf numFmtId="171" fontId="15" fillId="6" borderId="0" xfId="0" applyNumberFormat="1" applyFont="1" applyFill="1" applyAlignment="1">
      <alignment horizontal="center" vertical="center" wrapText="1"/>
    </xf>
    <xf numFmtId="14" fontId="0" fillId="0" borderId="0" xfId="0" applyNumberFormat="1"/>
    <xf numFmtId="15" fontId="0" fillId="0" borderId="0" xfId="0" applyNumberFormat="1"/>
    <xf numFmtId="0" fontId="18" fillId="0" borderId="0" xfId="0" applyFont="1"/>
    <xf numFmtId="174" fontId="0" fillId="0" borderId="26" xfId="0" applyNumberFormat="1" applyBorder="1" applyAlignment="1">
      <alignment horizontal="center" vertical="center" wrapText="1"/>
    </xf>
    <xf numFmtId="0" fontId="0" fillId="0" borderId="0" xfId="0" applyAlignment="1">
      <alignment vertical="center" wrapText="1"/>
    </xf>
    <xf numFmtId="175" fontId="1" fillId="0" borderId="28" xfId="0" applyNumberFormat="1" applyFont="1" applyBorder="1" applyAlignment="1">
      <alignment vertical="center" wrapText="1"/>
    </xf>
    <xf numFmtId="174" fontId="0" fillId="0" borderId="0" xfId="0" applyNumberFormat="1" applyAlignment="1">
      <alignment horizontal="center"/>
    </xf>
    <xf numFmtId="175" fontId="0" fillId="0" borderId="0" xfId="1" applyNumberFormat="1" applyFont="1" applyFill="1"/>
    <xf numFmtId="164" fontId="0" fillId="0" borderId="0" xfId="1" applyFont="1" applyFill="1" applyAlignment="1">
      <alignment horizontal="center"/>
    </xf>
    <xf numFmtId="174" fontId="0" fillId="0" borderId="29" xfId="0" applyNumberFormat="1" applyBorder="1" applyAlignment="1">
      <alignment horizontal="center"/>
    </xf>
    <xf numFmtId="0" fontId="16" fillId="0" borderId="0" xfId="4"/>
    <xf numFmtId="175" fontId="0" fillId="0" borderId="0" xfId="1" applyNumberFormat="1" applyFont="1" applyAlignment="1">
      <alignment horizontal="center" vertical="center"/>
    </xf>
    <xf numFmtId="175" fontId="1" fillId="0" borderId="27" xfId="0" applyNumberFormat="1" applyFont="1" applyBorder="1" applyAlignment="1">
      <alignment horizontal="center" vertical="center" wrapText="1"/>
    </xf>
    <xf numFmtId="175" fontId="2" fillId="0" borderId="0" xfId="1" applyNumberFormat="1" applyFont="1" applyBorder="1" applyAlignment="1">
      <alignment horizontal="center" vertical="center"/>
    </xf>
    <xf numFmtId="175" fontId="2" fillId="0" borderId="0" xfId="1" applyNumberFormat="1" applyFont="1" applyFill="1" applyAlignment="1">
      <alignment horizontal="center" vertical="center"/>
    </xf>
    <xf numFmtId="174" fontId="2" fillId="0" borderId="0" xfId="0" applyNumberFormat="1" applyFont="1" applyAlignment="1">
      <alignment horizontal="center" vertical="center"/>
    </xf>
    <xf numFmtId="175" fontId="2" fillId="0" borderId="0" xfId="1" applyNumberFormat="1" applyFont="1" applyAlignment="1">
      <alignment horizontal="center" vertical="center"/>
    </xf>
    <xf numFmtId="175" fontId="2" fillId="0" borderId="30" xfId="1" applyNumberFormat="1" applyFont="1" applyBorder="1" applyAlignment="1">
      <alignment horizontal="center"/>
    </xf>
    <xf numFmtId="175" fontId="2" fillId="0" borderId="0" xfId="1" applyNumberFormat="1" applyFont="1" applyFill="1"/>
    <xf numFmtId="175" fontId="2" fillId="0" borderId="30" xfId="1" applyNumberFormat="1" applyFont="1" applyBorder="1"/>
    <xf numFmtId="174" fontId="0" fillId="0" borderId="27" xfId="0" applyNumberFormat="1" applyBorder="1" applyAlignment="1">
      <alignment horizontal="center" vertical="center" wrapText="1"/>
    </xf>
    <xf numFmtId="174" fontId="0" fillId="0" borderId="0" xfId="0" applyNumberFormat="1" applyAlignment="1">
      <alignment horizontal="center" vertical="center" wrapText="1"/>
    </xf>
    <xf numFmtId="164" fontId="0" fillId="0" borderId="0" xfId="1" applyFont="1" applyAlignment="1">
      <alignment horizontal="center"/>
    </xf>
    <xf numFmtId="164" fontId="0" fillId="0" borderId="0" xfId="1" applyFont="1" applyBorder="1" applyAlignment="1">
      <alignment horizontal="center"/>
    </xf>
    <xf numFmtId="171" fontId="2" fillId="0" borderId="0" xfId="3" applyNumberFormat="1" applyFont="1"/>
    <xf numFmtId="2" fontId="0" fillId="0" borderId="33" xfId="0" applyNumberFormat="1" applyBorder="1" applyAlignment="1">
      <alignment horizontal="center" vertical="center"/>
    </xf>
    <xf numFmtId="9" fontId="0" fillId="0" borderId="33" xfId="3" applyFont="1" applyBorder="1" applyAlignment="1">
      <alignment horizontal="center"/>
    </xf>
    <xf numFmtId="0" fontId="0" fillId="0" borderId="34" xfId="0" applyBorder="1" applyAlignment="1">
      <alignment horizontal="center"/>
    </xf>
    <xf numFmtId="0" fontId="0" fillId="0" borderId="35" xfId="0" applyBorder="1" applyAlignment="1">
      <alignment horizontal="center"/>
    </xf>
    <xf numFmtId="0" fontId="0" fillId="0" borderId="36" xfId="0" applyBorder="1" applyAlignment="1">
      <alignment horizontal="center"/>
    </xf>
    <xf numFmtId="0" fontId="0" fillId="0" borderId="37" xfId="0" applyBorder="1" applyAlignment="1">
      <alignment horizontal="center"/>
    </xf>
    <xf numFmtId="2" fontId="0" fillId="0" borderId="38" xfId="0" applyNumberFormat="1" applyBorder="1" applyAlignment="1">
      <alignment horizontal="center" vertical="center"/>
    </xf>
    <xf numFmtId="0" fontId="0" fillId="0" borderId="39" xfId="0" applyBorder="1" applyAlignment="1">
      <alignment horizontal="center"/>
    </xf>
    <xf numFmtId="2" fontId="0" fillId="0" borderId="40" xfId="0" applyNumberFormat="1" applyBorder="1" applyAlignment="1">
      <alignment horizontal="center" vertical="center"/>
    </xf>
    <xf numFmtId="9" fontId="0" fillId="0" borderId="40" xfId="3" applyFont="1" applyBorder="1" applyAlignment="1">
      <alignment horizontal="center"/>
    </xf>
    <xf numFmtId="2" fontId="0" fillId="0" borderId="41" xfId="0" applyNumberFormat="1" applyBorder="1" applyAlignment="1">
      <alignment horizontal="center" vertical="center"/>
    </xf>
    <xf numFmtId="169" fontId="0" fillId="0" borderId="0" xfId="0" applyNumberFormat="1"/>
    <xf numFmtId="15" fontId="0" fillId="4" borderId="0" xfId="0" applyNumberFormat="1" applyFill="1"/>
    <xf numFmtId="15" fontId="0" fillId="7" borderId="0" xfId="0" applyNumberFormat="1" applyFill="1"/>
    <xf numFmtId="3" fontId="2" fillId="0" borderId="42" xfId="0" applyNumberFormat="1" applyFont="1" applyBorder="1" applyAlignment="1">
      <alignment horizontal="center" vertical="center"/>
    </xf>
    <xf numFmtId="0" fontId="0" fillId="0" borderId="0" xfId="0" applyAlignment="1">
      <alignment wrapText="1"/>
    </xf>
    <xf numFmtId="172" fontId="14" fillId="0" borderId="0" xfId="0" applyNumberFormat="1" applyFont="1" applyAlignment="1">
      <alignment horizontal="center"/>
    </xf>
    <xf numFmtId="9" fontId="2" fillId="0" borderId="0" xfId="3" applyFont="1"/>
    <xf numFmtId="14" fontId="2" fillId="0" borderId="0" xfId="0" applyNumberFormat="1" applyFont="1" applyAlignment="1">
      <alignment horizontal="center" vertical="center"/>
    </xf>
    <xf numFmtId="174" fontId="17" fillId="0" borderId="31" xfId="0" applyNumberFormat="1" applyFont="1" applyBorder="1" applyAlignment="1">
      <alignment horizontal="center"/>
    </xf>
    <xf numFmtId="174" fontId="17" fillId="0" borderId="32" xfId="0" applyNumberFormat="1" applyFont="1" applyBorder="1" applyAlignment="1">
      <alignment horizontal="center"/>
    </xf>
    <xf numFmtId="174" fontId="17" fillId="0" borderId="25" xfId="0" applyNumberFormat="1" applyFont="1" applyBorder="1" applyAlignment="1">
      <alignment horizontal="center"/>
    </xf>
    <xf numFmtId="0" fontId="0" fillId="0" borderId="0" xfId="0" applyNumberFormat="1"/>
    <xf numFmtId="0" fontId="0" fillId="0" borderId="0" xfId="0" applyNumberFormat="1" applyAlignment="1">
      <alignment horizontal="center" vertical="center"/>
    </xf>
    <xf numFmtId="0" fontId="2" fillId="0" borderId="0" xfId="0" applyNumberFormat="1" applyFont="1" applyAlignment="1">
      <alignment horizontal="center" vertical="center"/>
    </xf>
    <xf numFmtId="0" fontId="2" fillId="0" borderId="0" xfId="3" applyNumberFormat="1" applyFont="1"/>
  </cellXfs>
  <cellStyles count="5">
    <cellStyle name="Comma" xfId="1" builtinId="3"/>
    <cellStyle name="Heading 1" xfId="2" builtinId="16"/>
    <cellStyle name="Hyperlink" xfId="4" builtinId="8"/>
    <cellStyle name="Normal" xfId="0" builtinId="0"/>
    <cellStyle name="Percent" xfId="3" builtinId="5"/>
  </cellStyles>
  <dxfs count="130">
    <dxf>
      <font>
        <b val="0"/>
        <i val="0"/>
        <strike val="0"/>
        <condense val="0"/>
        <extend val="0"/>
        <outline val="0"/>
        <shadow val="0"/>
        <u val="none"/>
        <vertAlign val="baseline"/>
        <sz val="10"/>
        <color theme="1"/>
        <name val="Arial"/>
        <family val="2"/>
        <scheme val="minor"/>
      </font>
      <numFmt numFmtId="4" formatCode="#,##0.00"/>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4" formatCode="#,##0.00"/>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171" formatCode="0.0%"/>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4" formatCode="#,##0.00"/>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171" formatCode="0.0%"/>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4" formatCode="#,##0.00"/>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4" formatCode="#,##0.00"/>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171" formatCode="0.0%"/>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4" formatCode="#,##0.00"/>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4" formatCode="#,##0.00"/>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4" formatCode="#,##0.00"/>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4" formatCode="#,##0.00"/>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4" formatCode="#,##0.00"/>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4" formatCode="#,##0.00"/>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4" formatCode="#,##0.00"/>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2" formatCode="0.00"/>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2" formatCode="0.00"/>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2" formatCode="0.00"/>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2" formatCode="0.00"/>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169" formatCode="[$]dd\-mmm\-yyyy;@" x16r2:formatCode16="[$-en-PK,1]dd\-mmm\-yyyy;@"/>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minor"/>
      </font>
      <numFmt numFmtId="172" formatCode="dd\.mmm\.yy\ \ hh:mm"/>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minor"/>
      </font>
      <alignment horizontal="center" vertical="bottom" textRotation="0" wrapText="0" indent="0" justifyLastLine="0" shrinkToFit="0" readingOrder="0"/>
    </dxf>
    <dxf>
      <fill>
        <patternFill>
          <bgColor rgb="FFCCCCFF"/>
        </patternFill>
      </fill>
    </dxf>
    <dxf>
      <fill>
        <patternFill>
          <bgColor theme="6" tint="0.79998168889431442"/>
        </patternFill>
      </fill>
    </dxf>
    <dxf>
      <fill>
        <patternFill>
          <bgColor rgb="FFCCCCFF"/>
        </patternFill>
      </fill>
    </dxf>
    <dxf>
      <fill>
        <patternFill>
          <bgColor theme="6" tint="0.79998168889431442"/>
        </patternFill>
      </fill>
    </dxf>
    <dxf>
      <fill>
        <patternFill>
          <bgColor rgb="FFCCCCFF"/>
        </patternFill>
      </fill>
    </dxf>
    <dxf>
      <fill>
        <patternFill>
          <bgColor theme="6" tint="0.79998168889431442"/>
        </patternFill>
      </fill>
    </dxf>
    <dxf>
      <fill>
        <patternFill>
          <bgColor rgb="FFCCCCFF"/>
        </patternFill>
      </fill>
    </dxf>
    <dxf>
      <fill>
        <patternFill>
          <bgColor theme="6" tint="0.79998168889431442"/>
        </patternFill>
      </fill>
    </dxf>
    <dxf>
      <fill>
        <patternFill>
          <bgColor theme="6" tint="0.79998168889431442"/>
        </patternFill>
      </fill>
    </dxf>
    <dxf>
      <fill>
        <patternFill>
          <bgColor rgb="FFCCCCFF"/>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rgb="FFCCCCFF"/>
        </patternFill>
      </fill>
    </dxf>
    <dxf>
      <fill>
        <patternFill>
          <bgColor theme="6" tint="0.79998168889431442"/>
        </patternFill>
      </fill>
    </dxf>
    <dxf>
      <font>
        <b val="0"/>
        <i val="0"/>
        <strike val="0"/>
        <condense val="0"/>
        <extend val="0"/>
        <outline val="0"/>
        <shadow val="0"/>
        <u val="none"/>
        <vertAlign val="baseline"/>
        <sz val="10"/>
        <color rgb="FF000000"/>
        <name val="Arial"/>
        <family val="2"/>
        <scheme val="minor"/>
      </font>
    </dxf>
    <dxf>
      <font>
        <b val="0"/>
        <i val="0"/>
        <strike val="0"/>
        <condense val="0"/>
        <extend val="0"/>
        <outline val="0"/>
        <shadow val="0"/>
        <u val="none"/>
        <vertAlign val="baseline"/>
        <sz val="10"/>
        <color rgb="FF000000"/>
        <name val="Arial"/>
        <family val="2"/>
        <scheme val="minor"/>
      </font>
      <numFmt numFmtId="0" formatCode="General"/>
    </dxf>
    <dxf>
      <numFmt numFmtId="167" formatCode="m/d/yyyy\ h:mm"/>
    </dxf>
    <dxf>
      <numFmt numFmtId="168" formatCode="m/d/yyyy"/>
    </dxf>
    <dxf>
      <font>
        <b val="0"/>
        <i val="0"/>
        <strike val="0"/>
        <condense val="0"/>
        <extend val="0"/>
        <outline val="0"/>
        <shadow val="0"/>
        <u val="none"/>
        <vertAlign val="baseline"/>
        <sz val="10"/>
        <color rgb="FF000000"/>
        <name val="Arial"/>
        <family val="2"/>
        <scheme val="minor"/>
      </font>
    </dxf>
    <dxf>
      <font>
        <b val="0"/>
        <i val="0"/>
        <strike val="0"/>
        <condense val="0"/>
        <extend val="0"/>
        <outline val="0"/>
        <shadow val="0"/>
        <u val="none"/>
        <vertAlign val="baseline"/>
        <sz val="10"/>
        <color rgb="FF000000"/>
        <name val="Arial"/>
        <family val="2"/>
        <scheme val="minor"/>
      </font>
      <numFmt numFmtId="0" formatCode="General"/>
    </dxf>
    <dxf>
      <numFmt numFmtId="167" formatCode="m/d/yyyy\ h:mm"/>
    </dxf>
    <dxf>
      <numFmt numFmtId="168" formatCode="m/d/yyyy"/>
    </dxf>
    <dxf>
      <alignment horizontal="general" vertical="bottom" textRotation="0" wrapText="1" indent="0" justifyLastLine="0" shrinkToFit="0" readingOrder="0"/>
    </dxf>
    <dxf>
      <alignment horizontal="general" vertical="bottom" textRotation="0" wrapText="1" indent="0" justifyLastLine="0" shrinkToFit="0" readingOrder="0"/>
    </dxf>
    <dxf>
      <font>
        <b val="0"/>
        <i val="0"/>
        <strike val="0"/>
        <condense val="0"/>
        <extend val="0"/>
        <outline val="0"/>
        <shadow val="0"/>
        <u val="none"/>
        <vertAlign val="baseline"/>
        <sz val="10"/>
        <color rgb="FF000000"/>
        <name val="Arial"/>
        <family val="2"/>
        <scheme val="minor"/>
      </font>
    </dxf>
    <dxf>
      <font>
        <b val="0"/>
        <i val="0"/>
        <strike val="0"/>
        <condense val="0"/>
        <extend val="0"/>
        <outline val="0"/>
        <shadow val="0"/>
        <u val="none"/>
        <vertAlign val="baseline"/>
        <sz val="10"/>
        <color rgb="FF000000"/>
        <name val="Arial"/>
        <family val="2"/>
        <scheme val="minor"/>
      </font>
      <numFmt numFmtId="171" formatCode="0.0%"/>
    </dxf>
    <dxf>
      <numFmt numFmtId="167" formatCode="m/d/yyyy\ h:mm"/>
    </dxf>
    <dxf>
      <numFmt numFmtId="168" formatCode="m/d/yyyy"/>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dxf>
    <dxf>
      <font>
        <b val="0"/>
        <i val="0"/>
        <strike val="0"/>
        <condense val="0"/>
        <extend val="0"/>
        <outline val="0"/>
        <shadow val="0"/>
        <u val="none"/>
        <vertAlign val="baseline"/>
        <sz val="10"/>
        <color rgb="FF000000"/>
        <name val="Arial"/>
        <family val="2"/>
        <scheme val="minor"/>
      </font>
    </dxf>
    <dxf>
      <numFmt numFmtId="0" formatCode="General"/>
    </dxf>
    <dxf>
      <numFmt numFmtId="0" formatCode="General"/>
    </dxf>
    <dxf>
      <numFmt numFmtId="0" formatCode="General"/>
    </dxf>
    <dxf>
      <numFmt numFmtId="0" formatCode="General"/>
    </dxf>
    <dxf>
      <numFmt numFmtId="167" formatCode="m/d/yyyy\ h:mm"/>
    </dxf>
    <dxf>
      <numFmt numFmtId="168" formatCode="m/d/yyyy"/>
    </dxf>
    <dxf>
      <font>
        <b val="0"/>
        <strike val="0"/>
        <outline val="0"/>
        <shadow val="0"/>
        <u val="none"/>
        <vertAlign val="baseline"/>
        <sz val="10"/>
        <color theme="1"/>
        <name val="Arial"/>
        <scheme val="minor"/>
      </font>
      <fill>
        <patternFill patternType="none">
          <fgColor indexed="64"/>
          <bgColor auto="1"/>
        </patternFill>
      </fill>
      <alignment horizontal="center" vertical="bottom" textRotation="0" wrapText="0" indent="0" justifyLastLine="0" shrinkToFit="0" readingOrder="0"/>
    </dxf>
    <dxf>
      <font>
        <b val="0"/>
        <strike val="0"/>
        <outline val="0"/>
        <shadow val="0"/>
        <u val="none"/>
        <vertAlign val="baseline"/>
        <sz val="10"/>
        <color theme="0"/>
        <name val="Arial"/>
        <family val="2"/>
        <scheme val="minor"/>
      </font>
      <fill>
        <patternFill patternType="solid">
          <fgColor indexed="64"/>
          <bgColor theme="4"/>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Arial"/>
        <family val="2"/>
        <scheme val="minor"/>
      </font>
      <numFmt numFmtId="175" formatCode="#,##0.00\ &quot;hrs&quot;"/>
      <fill>
        <patternFill patternType="none">
          <fgColor indexed="64"/>
          <bgColor auto="1"/>
        </patternFill>
      </fill>
    </dxf>
    <dxf>
      <numFmt numFmtId="174" formatCode="dd\.mmm\.yy\ \ \ hh:mm"/>
      <alignment horizontal="center" vertical="bottom" textRotation="0" wrapText="0" indent="0" justifyLastLine="0" shrinkToFit="0" readingOrder="0"/>
    </dxf>
    <dxf>
      <alignment horizontal="center" vertical="bottom" textRotation="0" wrapText="0" indent="0" justifyLastLine="0" shrinkToFit="0" readingOrder="0"/>
    </dxf>
    <dxf>
      <numFmt numFmtId="174" formatCode="dd\.mmm\.yy\ \ \ hh:mm"/>
      <fill>
        <patternFill patternType="none">
          <fgColor indexed="64"/>
          <bgColor auto="1"/>
        </patternFill>
      </fill>
      <alignment horizontal="center" vertical="bottom" textRotation="0" wrapText="0" indent="0" justifyLastLine="0" shrinkToFit="0" readingOrder="0"/>
    </dxf>
    <dxf>
      <numFmt numFmtId="174" formatCode="dd\.mmm\.yy\ \ \ hh:mm"/>
      <fill>
        <patternFill patternType="none">
          <fgColor indexed="64"/>
          <bgColor auto="1"/>
        </patternFill>
      </fill>
      <alignment horizontal="center" vertical="bottom" textRotation="0" wrapText="0" indent="0" justifyLastLine="0" shrinkToFit="0" readingOrder="0"/>
    </dxf>
    <dxf>
      <border outline="0">
        <right style="thin">
          <color rgb="FF000000"/>
        </right>
        <top style="thin">
          <color rgb="FF000000"/>
        </top>
      </border>
    </dxf>
    <dxf>
      <fill>
        <patternFill patternType="none">
          <fgColor indexed="64"/>
          <bgColor auto="1"/>
        </patternFill>
      </fill>
    </dxf>
    <dxf>
      <border outline="0">
        <bottom style="thin">
          <color rgb="FF000000"/>
        </bottom>
      </border>
    </dxf>
    <dxf>
      <alignment vertical="center" textRotation="0" wrapText="1" indent="0" justifyLastLine="0" shrinkToFit="0" readingOrder="0"/>
    </dxf>
    <dxf>
      <font>
        <b val="0"/>
        <i val="0"/>
        <strike val="0"/>
        <condense val="0"/>
        <extend val="0"/>
        <outline val="0"/>
        <shadow val="0"/>
        <u val="none"/>
        <vertAlign val="baseline"/>
        <sz val="11"/>
        <color theme="1"/>
        <name val="Arial"/>
        <family val="2"/>
        <scheme val="minor"/>
      </font>
      <numFmt numFmtId="175" formatCode="#,##0.00\ &quot;hrs&quot;"/>
      <fill>
        <patternFill patternType="none">
          <fgColor indexed="64"/>
          <bgColor auto="1"/>
        </patternFill>
      </fill>
    </dxf>
    <dxf>
      <numFmt numFmtId="174" formatCode="dd\.mmm\.yy\ \ \ hh:mm"/>
      <alignment horizontal="center" vertical="bottom" textRotation="0" wrapText="0" indent="0" justifyLastLine="0" shrinkToFit="0" readingOrder="0"/>
    </dxf>
    <dxf>
      <numFmt numFmtId="174" formatCode="dd\.mmm\.yy\ \ \ hh:mm"/>
      <alignment horizontal="center" vertical="bottom" textRotation="0" wrapText="0" indent="0" justifyLastLine="0" shrinkToFit="0" readingOrder="0"/>
    </dxf>
    <dxf>
      <numFmt numFmtId="174" formatCode="dd\.mmm\.yy\ \ \ hh:mm"/>
      <fill>
        <patternFill patternType="none">
          <fgColor indexed="64"/>
          <bgColor auto="1"/>
        </patternFill>
      </fill>
      <alignment horizontal="center" vertical="bottom" textRotation="0" wrapText="0" indent="0" justifyLastLine="0" shrinkToFit="0" readingOrder="0"/>
    </dxf>
    <dxf>
      <numFmt numFmtId="174" formatCode="dd\.mmm\.yy\ \ \ hh:mm"/>
      <fill>
        <patternFill patternType="none">
          <fgColor indexed="64"/>
          <bgColor auto="1"/>
        </patternFill>
      </fill>
      <alignment horizontal="center" vertical="bottom" textRotation="0" wrapText="0" indent="0" justifyLastLine="0" shrinkToFit="0" readingOrder="0"/>
    </dxf>
    <dxf>
      <border outline="0">
        <right style="thin">
          <color rgb="FF000000"/>
        </right>
        <top style="thin">
          <color rgb="FF000000"/>
        </top>
      </border>
    </dxf>
    <dxf>
      <fill>
        <patternFill patternType="none">
          <fgColor indexed="64"/>
          <bgColor auto="1"/>
        </patternFill>
      </fill>
    </dxf>
    <dxf>
      <border outline="0">
        <bottom style="thin">
          <color rgb="FF000000"/>
        </bottom>
      </border>
    </dxf>
    <dxf>
      <alignment vertical="center" textRotation="0" wrapText="1" indent="0" justifyLastLine="0" shrinkToFit="0" readingOrder="0"/>
    </dxf>
    <dxf>
      <font>
        <b val="0"/>
        <i val="0"/>
        <strike val="0"/>
        <condense val="0"/>
        <extend val="0"/>
        <outline val="0"/>
        <shadow val="0"/>
        <u val="none"/>
        <vertAlign val="baseline"/>
        <sz val="11"/>
        <color theme="1"/>
        <name val="Arial"/>
        <family val="2"/>
        <scheme val="minor"/>
      </font>
      <numFmt numFmtId="175" formatCode="#,##0.00\ &quot;hrs&quot;"/>
      <alignment horizontal="center" vertical="center" textRotation="0" wrapText="0" indent="0" justifyLastLine="0" shrinkToFit="0" readingOrder="0"/>
    </dxf>
    <dxf>
      <numFmt numFmtId="174" formatCode="dd\.mmm\.yy\ \ \ hh:mm"/>
      <alignment horizontal="center" vertical="bottom" textRotation="0" wrapText="0" indent="0" justifyLastLine="0" shrinkToFit="0" readingOrder="0"/>
    </dxf>
    <dxf>
      <numFmt numFmtId="174" formatCode="dd\.mmm\.yy\ \ \ hh:mm"/>
      <alignment horizontal="center" vertical="bottom" textRotation="0" wrapText="0" indent="0" justifyLastLine="0" shrinkToFit="0" readingOrder="0"/>
    </dxf>
    <dxf>
      <numFmt numFmtId="174" formatCode="dd\.mmm\.yy\ \ \ hh:mm"/>
      <alignment horizontal="center" vertical="bottom" textRotation="0" wrapText="0" indent="0" justifyLastLine="0" shrinkToFit="0" readingOrder="0"/>
    </dxf>
    <dxf>
      <numFmt numFmtId="174" formatCode="dd\.mmm\.yy\ \ \ hh:mm"/>
      <alignment horizontal="center" vertical="bottom" textRotation="0" wrapText="0" indent="0" justifyLastLine="0" shrinkToFit="0" readingOrder="0"/>
    </dxf>
    <dxf>
      <border outline="0">
        <right style="thin">
          <color indexed="64"/>
        </right>
        <top style="thin">
          <color indexed="64"/>
        </top>
      </border>
    </dxf>
    <dxf>
      <border outline="0">
        <bottom style="thin">
          <color indexed="64"/>
        </bottom>
      </border>
    </dxf>
    <dxf>
      <alignment vertical="center" textRotation="0" wrapText="1" indent="0" justifyLastLine="0" shrinkToFit="0" readingOrder="0"/>
    </dxf>
    <dxf>
      <font>
        <b val="0"/>
        <i val="0"/>
        <strike val="0"/>
        <condense val="0"/>
        <extend val="0"/>
        <outline val="0"/>
        <shadow val="0"/>
        <u val="none"/>
        <vertAlign val="baseline"/>
        <sz val="10"/>
        <color rgb="FF000000"/>
        <name val="Arial"/>
        <family val="2"/>
        <scheme val="minor"/>
      </font>
    </dxf>
    <dxf>
      <numFmt numFmtId="176" formatCode="d\-mmm\-yy"/>
    </dxf>
    <dxf>
      <font>
        <b val="0"/>
        <i val="0"/>
        <strike val="0"/>
        <condense val="0"/>
        <extend val="0"/>
        <outline val="0"/>
        <shadow val="0"/>
        <u val="none"/>
        <vertAlign val="baseline"/>
        <sz val="10"/>
        <color rgb="FF000000"/>
        <name val="Arial"/>
        <family val="2"/>
        <scheme val="minor"/>
      </font>
    </dxf>
    <dxf>
      <numFmt numFmtId="168" formatCode="m/d/yyyy"/>
    </dxf>
    <dxf>
      <font>
        <b val="0"/>
        <i val="0"/>
        <strike val="0"/>
        <condense val="0"/>
        <extend val="0"/>
        <outline val="0"/>
        <shadow val="0"/>
        <u val="none"/>
        <vertAlign val="baseline"/>
        <sz val="10"/>
        <color rgb="FF000000"/>
        <name val="Arial"/>
        <family val="2"/>
        <scheme val="minor"/>
      </font>
    </dxf>
    <dxf>
      <font>
        <b val="0"/>
        <i val="0"/>
        <strike val="0"/>
        <condense val="0"/>
        <extend val="0"/>
        <outline val="0"/>
        <shadow val="0"/>
        <u val="none"/>
        <vertAlign val="baseline"/>
        <sz val="10"/>
        <color rgb="FF000000"/>
        <name val="Arial"/>
        <family val="2"/>
        <scheme val="minor"/>
      </font>
    </dxf>
    <dxf>
      <font>
        <b val="0"/>
        <i val="0"/>
        <strike val="0"/>
        <condense val="0"/>
        <extend val="0"/>
        <outline val="0"/>
        <shadow val="0"/>
        <u val="none"/>
        <vertAlign val="baseline"/>
        <sz val="10"/>
        <color rgb="FF000000"/>
        <name val="Arial"/>
        <family val="2"/>
        <scheme val="minor"/>
      </font>
    </dxf>
    <dxf>
      <font>
        <b val="0"/>
        <i val="0"/>
        <strike val="0"/>
        <condense val="0"/>
        <extend val="0"/>
        <outline val="0"/>
        <shadow val="0"/>
        <u val="none"/>
        <vertAlign val="baseline"/>
        <sz val="10"/>
        <color rgb="FF000000"/>
        <name val="Arial"/>
        <family val="2"/>
        <scheme val="minor"/>
      </font>
      <numFmt numFmtId="173" formatCode="#,##0.000000"/>
      <alignment horizontal="center" vertical="center" textRotation="0" wrapText="0" indent="0" justifyLastLine="0" shrinkToFit="0" readingOrder="0"/>
      <border diagonalUp="0" diagonalDown="0" outline="0">
        <left/>
        <right style="medium">
          <color rgb="FF7030A0"/>
        </right>
        <top/>
        <bottom/>
      </border>
    </dxf>
    <dxf>
      <font>
        <b val="0"/>
        <i val="0"/>
        <strike val="0"/>
        <condense val="0"/>
        <extend val="0"/>
        <outline val="0"/>
        <shadow val="0"/>
        <u val="none"/>
        <vertAlign val="baseline"/>
        <sz val="10"/>
        <color rgb="FF000000"/>
        <name val="Arial"/>
        <family val="2"/>
        <scheme val="minor"/>
      </font>
      <numFmt numFmtId="165" formatCode="#,##0.0000"/>
      <alignment horizontal="center" vertical="center" textRotation="0" wrapText="0" indent="0" justifyLastLine="0" shrinkToFit="0" readingOrder="0"/>
    </dxf>
    <dxf>
      <font>
        <b val="0"/>
        <i val="0"/>
        <strike val="0"/>
        <condense val="0"/>
        <extend val="0"/>
        <outline val="0"/>
        <shadow val="0"/>
        <u val="none"/>
        <vertAlign val="baseline"/>
        <sz val="10"/>
        <color rgb="FF000000"/>
        <name val="Arial"/>
        <family val="2"/>
        <scheme val="minor"/>
      </font>
      <numFmt numFmtId="165" formatCode="#,##0.0000"/>
      <alignment horizontal="center" vertical="center" textRotation="0" wrapText="0" indent="0" justifyLastLine="0" shrinkToFit="0" readingOrder="0"/>
      <border diagonalUp="0" diagonalDown="0">
        <left style="medium">
          <color rgb="FF7030A0"/>
        </left>
        <right/>
        <top/>
        <bottom/>
        <vertical/>
        <horizontal/>
      </border>
    </dxf>
    <dxf>
      <font>
        <b val="0"/>
        <i val="0"/>
        <strike val="0"/>
        <condense val="0"/>
        <extend val="0"/>
        <outline val="0"/>
        <shadow val="0"/>
        <u val="none"/>
        <vertAlign val="baseline"/>
        <sz val="10"/>
        <color rgb="FF000000"/>
        <name val="Arial"/>
        <family val="2"/>
        <scheme val="minor"/>
      </font>
      <numFmt numFmtId="165" formatCode="#,##0.0000"/>
      <alignment horizontal="center" vertical="center" textRotation="0" wrapText="0" indent="0" justifyLastLine="0" shrinkToFit="0" readingOrder="0"/>
    </dxf>
    <dxf>
      <font>
        <b val="0"/>
        <i val="0"/>
        <strike val="0"/>
        <condense val="0"/>
        <extend val="0"/>
        <outline val="0"/>
        <shadow val="0"/>
        <u val="none"/>
        <vertAlign val="baseline"/>
        <sz val="10"/>
        <color rgb="FF000000"/>
        <name val="Arial"/>
        <family val="2"/>
        <scheme val="minor"/>
      </font>
      <numFmt numFmtId="165" formatCode="#,##0.0000"/>
      <alignment horizontal="center" vertical="center" textRotation="0" wrapText="0" indent="0" justifyLastLine="0" shrinkToFit="0" readingOrder="0"/>
      <border diagonalUp="0" diagonalDown="0">
        <left style="medium">
          <color rgb="FF7030A0"/>
        </left>
        <right/>
        <top/>
        <bottom/>
        <vertical/>
        <horizontal/>
      </border>
    </dxf>
    <dxf>
      <font>
        <b val="0"/>
        <i val="0"/>
        <strike val="0"/>
        <condense val="0"/>
        <extend val="0"/>
        <outline val="0"/>
        <shadow val="0"/>
        <u val="none"/>
        <vertAlign val="baseline"/>
        <sz val="10"/>
        <color rgb="FF000000"/>
        <name val="Arial"/>
        <family val="2"/>
        <scheme val="minor"/>
      </font>
      <numFmt numFmtId="3" formatCode="#,##0"/>
      <alignment horizontal="center" vertical="center" textRotation="0" wrapText="0" indent="0" justifyLastLine="0" shrinkToFit="0" readingOrder="0"/>
      <border diagonalUp="0" diagonalDown="0">
        <left style="hair">
          <color rgb="FF7030A0"/>
        </left>
        <right style="medium">
          <color rgb="FF7030A0"/>
        </right>
        <top style="hair">
          <color rgb="FF7030A0"/>
        </top>
        <bottom style="hair">
          <color rgb="FF7030A0"/>
        </bottom>
        <vertical/>
        <horizontal/>
      </border>
    </dxf>
    <dxf>
      <font>
        <b val="0"/>
        <i val="0"/>
        <strike val="0"/>
        <condense val="0"/>
        <extend val="0"/>
        <outline val="0"/>
        <shadow val="0"/>
        <u val="none"/>
        <vertAlign val="baseline"/>
        <sz val="10"/>
        <color rgb="FF000000"/>
        <name val="Arial"/>
        <family val="2"/>
        <scheme val="minor"/>
      </font>
      <numFmt numFmtId="165" formatCode="#,##0.0000"/>
      <alignment horizontal="center" vertical="center" textRotation="0" wrapText="0" indent="0" justifyLastLine="0" shrinkToFit="0" readingOrder="0"/>
      <border diagonalUp="0" diagonalDown="0">
        <left style="hair">
          <color rgb="FF7030A0"/>
        </left>
        <right style="hair">
          <color rgb="FF7030A0"/>
        </right>
        <top style="hair">
          <color rgb="FF7030A0"/>
        </top>
        <bottom style="hair">
          <color rgb="FF7030A0"/>
        </bottom>
        <vertical/>
        <horizontal/>
      </border>
    </dxf>
    <dxf>
      <font>
        <b val="0"/>
        <i val="0"/>
        <strike val="0"/>
        <condense val="0"/>
        <extend val="0"/>
        <outline val="0"/>
        <shadow val="0"/>
        <u val="none"/>
        <vertAlign val="baseline"/>
        <sz val="10"/>
        <color rgb="FF000000"/>
        <name val="Arial"/>
        <family val="2"/>
        <scheme val="minor"/>
      </font>
      <numFmt numFmtId="165" formatCode="#,##0.0000"/>
      <alignment horizontal="center" vertical="center" textRotation="0" wrapText="0" indent="0" justifyLastLine="0" shrinkToFit="0" readingOrder="0"/>
      <border diagonalUp="0" diagonalDown="0">
        <left style="hair">
          <color rgb="FF7030A0"/>
        </left>
        <right style="hair">
          <color rgb="FF7030A0"/>
        </right>
        <top style="hair">
          <color rgb="FF7030A0"/>
        </top>
        <bottom style="hair">
          <color rgb="FF7030A0"/>
        </bottom>
        <vertical/>
        <horizontal/>
      </border>
    </dxf>
    <dxf>
      <font>
        <b val="0"/>
        <i val="0"/>
        <strike val="0"/>
        <condense val="0"/>
        <extend val="0"/>
        <outline val="0"/>
        <shadow val="0"/>
        <u val="none"/>
        <vertAlign val="baseline"/>
        <sz val="10"/>
        <color rgb="FF000000"/>
        <name val="Arial"/>
        <family val="2"/>
        <scheme val="minor"/>
      </font>
      <numFmt numFmtId="165" formatCode="#,##0.0000"/>
      <alignment horizontal="center" vertical="center" textRotation="0" wrapText="0" indent="0" justifyLastLine="0" shrinkToFit="0" readingOrder="0"/>
      <border diagonalUp="0" diagonalDown="0">
        <left style="hair">
          <color rgb="FF7030A0"/>
        </left>
        <right style="hair">
          <color rgb="FF7030A0"/>
        </right>
        <top style="hair">
          <color rgb="FF7030A0"/>
        </top>
        <bottom style="hair">
          <color rgb="FF7030A0"/>
        </bottom>
        <vertical/>
        <horizontal/>
      </border>
    </dxf>
    <dxf>
      <font>
        <b val="0"/>
        <i val="0"/>
        <strike val="0"/>
        <condense val="0"/>
        <extend val="0"/>
        <outline val="0"/>
        <shadow val="0"/>
        <u val="none"/>
        <vertAlign val="baseline"/>
        <sz val="10"/>
        <color rgb="FF000000"/>
        <name val="Arial"/>
        <family val="2"/>
        <scheme val="minor"/>
      </font>
      <numFmt numFmtId="165" formatCode="#,##0.0000"/>
      <alignment horizontal="center" vertical="center" textRotation="0" wrapText="0" indent="0" justifyLastLine="0" shrinkToFit="0" readingOrder="0"/>
      <border diagonalUp="0" diagonalDown="0">
        <left style="hair">
          <color rgb="FF7030A0"/>
        </left>
        <right style="hair">
          <color rgb="FF7030A0"/>
        </right>
        <top style="hair">
          <color rgb="FF7030A0"/>
        </top>
        <bottom style="hair">
          <color rgb="FF7030A0"/>
        </bottom>
        <vertical/>
        <horizontal/>
      </border>
    </dxf>
    <dxf>
      <font>
        <b val="0"/>
        <i val="0"/>
        <strike val="0"/>
        <condense val="0"/>
        <extend val="0"/>
        <outline val="0"/>
        <shadow val="0"/>
        <u val="none"/>
        <vertAlign val="baseline"/>
        <sz val="10"/>
        <color rgb="FF000000"/>
        <name val="Arial"/>
        <family val="2"/>
        <scheme val="minor"/>
      </font>
      <numFmt numFmtId="165" formatCode="#,##0.0000"/>
      <alignment horizontal="center" vertical="center" textRotation="0" wrapText="0" indent="0" justifyLastLine="0" shrinkToFit="0" readingOrder="0"/>
      <border diagonalUp="0" diagonalDown="0">
        <left style="hair">
          <color rgb="FF7030A0"/>
        </left>
        <right style="hair">
          <color rgb="FF7030A0"/>
        </right>
        <top style="hair">
          <color rgb="FF7030A0"/>
        </top>
        <bottom style="hair">
          <color rgb="FF7030A0"/>
        </bottom>
        <vertical/>
        <horizontal/>
      </border>
    </dxf>
    <dxf>
      <font>
        <b val="0"/>
        <i val="0"/>
        <strike val="0"/>
        <condense val="0"/>
        <extend val="0"/>
        <outline val="0"/>
        <shadow val="0"/>
        <u val="none"/>
        <vertAlign val="baseline"/>
        <sz val="10"/>
        <color rgb="FF000000"/>
        <name val="Arial"/>
        <family val="2"/>
        <scheme val="minor"/>
      </font>
      <numFmt numFmtId="165" formatCode="#,##0.0000"/>
      <alignment horizontal="center" vertical="center" textRotation="0" wrapText="0" indent="0" justifyLastLine="0" shrinkToFit="0" readingOrder="0"/>
      <border diagonalUp="0" diagonalDown="0">
        <left style="hair">
          <color rgb="FF7030A0"/>
        </left>
        <right style="hair">
          <color rgb="FF7030A0"/>
        </right>
        <top style="hair">
          <color rgb="FF7030A0"/>
        </top>
        <bottom style="hair">
          <color rgb="FF7030A0"/>
        </bottom>
        <vertical/>
        <horizontal/>
      </border>
    </dxf>
    <dxf>
      <font>
        <b val="0"/>
        <i val="0"/>
        <strike val="0"/>
        <condense val="0"/>
        <extend val="0"/>
        <outline val="0"/>
        <shadow val="0"/>
        <u val="none"/>
        <vertAlign val="baseline"/>
        <sz val="10"/>
        <color rgb="FF000000"/>
        <name val="Arial"/>
        <family val="2"/>
        <scheme val="minor"/>
      </font>
      <numFmt numFmtId="166" formatCode="#,##0.0"/>
      <alignment horizontal="center" vertical="center" textRotation="0" wrapText="0" indent="0" justifyLastLine="0" shrinkToFit="0" readingOrder="0"/>
      <border diagonalUp="0" diagonalDown="0">
        <left style="hair">
          <color rgb="FF7030A0"/>
        </left>
        <right style="hair">
          <color rgb="FF7030A0"/>
        </right>
        <top style="hair">
          <color rgb="FF7030A0"/>
        </top>
        <bottom style="hair">
          <color rgb="FF7030A0"/>
        </bottom>
        <vertical/>
        <horizontal/>
      </border>
    </dxf>
    <dxf>
      <font>
        <b val="0"/>
        <i val="0"/>
        <strike val="0"/>
        <condense val="0"/>
        <extend val="0"/>
        <outline val="0"/>
        <shadow val="0"/>
        <u val="none"/>
        <vertAlign val="baseline"/>
        <sz val="10"/>
        <color rgb="FF000000"/>
        <name val="Arial"/>
        <family val="2"/>
        <scheme val="minor"/>
      </font>
      <numFmt numFmtId="166" formatCode="#,##0.0"/>
      <alignment horizontal="center" vertical="center" textRotation="0" wrapText="0" indent="0" justifyLastLine="0" shrinkToFit="0" readingOrder="0"/>
      <border diagonalUp="0" diagonalDown="0">
        <left style="hair">
          <color rgb="FF7030A0"/>
        </left>
        <right style="hair">
          <color rgb="FF7030A0"/>
        </right>
        <top style="hair">
          <color rgb="FF7030A0"/>
        </top>
        <bottom style="hair">
          <color rgb="FF7030A0"/>
        </bottom>
        <vertical/>
        <horizontal/>
      </border>
    </dxf>
    <dxf>
      <font>
        <b val="0"/>
        <i val="0"/>
        <strike val="0"/>
        <condense val="0"/>
        <extend val="0"/>
        <outline val="0"/>
        <shadow val="0"/>
        <u val="none"/>
        <vertAlign val="baseline"/>
        <sz val="10"/>
        <color rgb="FF000000"/>
        <name val="Arial"/>
        <family val="2"/>
        <scheme val="minor"/>
      </font>
      <numFmt numFmtId="166" formatCode="#,##0.0"/>
      <alignment horizontal="center" vertical="center" textRotation="0" wrapText="0" indent="0" justifyLastLine="0" shrinkToFit="0" readingOrder="0"/>
      <border diagonalUp="0" diagonalDown="0">
        <left style="hair">
          <color rgb="FF7030A0"/>
        </left>
        <right style="hair">
          <color rgb="FF7030A0"/>
        </right>
        <top style="hair">
          <color rgb="FF7030A0"/>
        </top>
        <bottom style="hair">
          <color rgb="FF7030A0"/>
        </bottom>
        <vertical/>
        <horizontal/>
      </border>
    </dxf>
    <dxf>
      <font>
        <b val="0"/>
        <i val="0"/>
        <strike val="0"/>
        <condense val="0"/>
        <extend val="0"/>
        <outline val="0"/>
        <shadow val="0"/>
        <u val="none"/>
        <vertAlign val="baseline"/>
        <sz val="10"/>
        <color rgb="FF000000"/>
        <name val="Arial"/>
        <family val="2"/>
        <scheme val="minor"/>
      </font>
      <numFmt numFmtId="170" formatCode="0.0000"/>
      <alignment horizontal="center" vertical="center" textRotation="0" wrapText="0" indent="0" justifyLastLine="0" shrinkToFit="0" readingOrder="0"/>
      <border diagonalUp="0" diagonalDown="0">
        <left style="hair">
          <color rgb="FF7030A0"/>
        </left>
        <right style="hair">
          <color rgb="FF7030A0"/>
        </right>
        <top style="hair">
          <color rgb="FF7030A0"/>
        </top>
        <bottom style="hair">
          <color rgb="FF7030A0"/>
        </bottom>
        <vertical/>
        <horizontal/>
      </border>
    </dxf>
    <dxf>
      <font>
        <b val="0"/>
        <i val="0"/>
        <strike val="0"/>
        <condense val="0"/>
        <extend val="0"/>
        <outline val="0"/>
        <shadow val="0"/>
        <u val="none"/>
        <vertAlign val="baseline"/>
        <sz val="10"/>
        <color rgb="FF000000"/>
        <name val="Arial"/>
        <family val="2"/>
        <scheme val="minor"/>
      </font>
      <numFmt numFmtId="170" formatCode="0.0000"/>
      <alignment horizontal="center" vertical="center" textRotation="0" wrapText="0" indent="0" justifyLastLine="0" shrinkToFit="0" readingOrder="0"/>
      <border diagonalUp="0" diagonalDown="0">
        <left style="hair">
          <color rgb="FF7030A0"/>
        </left>
        <right style="hair">
          <color rgb="FF7030A0"/>
        </right>
        <top style="hair">
          <color rgb="FF7030A0"/>
        </top>
        <bottom style="hair">
          <color rgb="FF7030A0"/>
        </bottom>
        <vertical/>
        <horizontal/>
      </border>
    </dxf>
    <dxf>
      <font>
        <b val="0"/>
        <i val="0"/>
        <strike val="0"/>
        <condense val="0"/>
        <extend val="0"/>
        <outline val="0"/>
        <shadow val="0"/>
        <u val="none"/>
        <vertAlign val="baseline"/>
        <sz val="10"/>
        <color rgb="FF000000"/>
        <name val="Arial"/>
        <family val="2"/>
        <scheme val="minor"/>
      </font>
      <numFmt numFmtId="170" formatCode="0.0000"/>
      <alignment horizontal="center" vertical="center" textRotation="0" wrapText="0" indent="0" justifyLastLine="0" shrinkToFit="0" readingOrder="0"/>
      <border diagonalUp="0" diagonalDown="0">
        <left style="hair">
          <color rgb="FF7030A0"/>
        </left>
        <right style="hair">
          <color rgb="FF7030A0"/>
        </right>
        <top style="hair">
          <color rgb="FF7030A0"/>
        </top>
        <bottom style="hair">
          <color rgb="FF7030A0"/>
        </bottom>
        <vertical/>
        <horizontal/>
      </border>
    </dxf>
    <dxf>
      <font>
        <b val="0"/>
        <i val="0"/>
        <strike val="0"/>
        <condense val="0"/>
        <extend val="0"/>
        <outline val="0"/>
        <shadow val="0"/>
        <u val="none"/>
        <vertAlign val="baseline"/>
        <sz val="10"/>
        <color rgb="FF000000"/>
        <name val="Arial"/>
        <family val="2"/>
        <scheme val="minor"/>
      </font>
      <numFmt numFmtId="170" formatCode="0.0000"/>
      <alignment horizontal="center" vertical="center" textRotation="0" wrapText="0" indent="0" justifyLastLine="0" shrinkToFit="0" readingOrder="0"/>
      <border diagonalUp="0" diagonalDown="0">
        <left style="hair">
          <color rgb="FF7030A0"/>
        </left>
        <right style="hair">
          <color rgb="FF7030A0"/>
        </right>
        <top style="hair">
          <color rgb="FF7030A0"/>
        </top>
        <bottom style="hair">
          <color rgb="FF7030A0"/>
        </bottom>
        <vertical/>
        <horizontal/>
      </border>
    </dxf>
    <dxf>
      <font>
        <b val="0"/>
        <i val="0"/>
        <strike val="0"/>
        <condense val="0"/>
        <extend val="0"/>
        <outline val="0"/>
        <shadow val="0"/>
        <u val="none"/>
        <vertAlign val="baseline"/>
        <sz val="10"/>
        <color rgb="FF000000"/>
        <name val="Arial"/>
        <family val="2"/>
        <scheme val="minor"/>
      </font>
      <numFmt numFmtId="170" formatCode="0.0000"/>
      <alignment horizontal="center" vertical="center" textRotation="0" wrapText="0" indent="0" justifyLastLine="0" shrinkToFit="0" readingOrder="0"/>
      <border diagonalUp="0" diagonalDown="0">
        <left style="hair">
          <color rgb="FF7030A0"/>
        </left>
        <right style="hair">
          <color rgb="FF7030A0"/>
        </right>
        <top style="hair">
          <color rgb="FF7030A0"/>
        </top>
        <bottom style="hair">
          <color rgb="FF7030A0"/>
        </bottom>
        <vertical/>
        <horizontal/>
      </border>
    </dxf>
    <dxf>
      <font>
        <b val="0"/>
        <i val="0"/>
        <strike val="0"/>
        <condense val="0"/>
        <extend val="0"/>
        <outline val="0"/>
        <shadow val="0"/>
        <u val="none"/>
        <vertAlign val="baseline"/>
        <sz val="10"/>
        <color rgb="FF000000"/>
        <name val="Arial"/>
        <family val="2"/>
        <scheme val="minor"/>
      </font>
      <numFmt numFmtId="170" formatCode="0.0000"/>
      <alignment horizontal="center" vertical="center" textRotation="0" wrapText="0" indent="0" justifyLastLine="0" shrinkToFit="0" readingOrder="0"/>
      <border diagonalUp="0" diagonalDown="0">
        <left style="hair">
          <color rgb="FF7030A0"/>
        </left>
        <right style="hair">
          <color rgb="FF7030A0"/>
        </right>
        <top style="hair">
          <color rgb="FF7030A0"/>
        </top>
        <bottom style="hair">
          <color rgb="FF7030A0"/>
        </bottom>
        <vertical/>
        <horizontal/>
      </border>
    </dxf>
    <dxf>
      <font>
        <b val="0"/>
        <i val="0"/>
        <strike val="0"/>
        <condense val="0"/>
        <extend val="0"/>
        <outline val="0"/>
        <shadow val="0"/>
        <u val="none"/>
        <vertAlign val="baseline"/>
        <sz val="10"/>
        <color rgb="FF000000"/>
        <name val="Arial"/>
        <family val="2"/>
        <scheme val="minor"/>
      </font>
      <numFmt numFmtId="170" formatCode="0.0000"/>
      <alignment horizontal="center" vertical="center" textRotation="0" wrapText="0" indent="0" justifyLastLine="0" shrinkToFit="0" readingOrder="0"/>
      <border diagonalUp="0" diagonalDown="0">
        <left style="hair">
          <color rgb="FF7030A0"/>
        </left>
        <right style="hair">
          <color rgb="FF7030A0"/>
        </right>
        <top style="hair">
          <color rgb="FF7030A0"/>
        </top>
        <bottom style="hair">
          <color rgb="FF7030A0"/>
        </bottom>
        <vertical/>
        <horizontal/>
      </border>
    </dxf>
    <dxf>
      <font>
        <b val="0"/>
        <i val="0"/>
        <strike val="0"/>
        <condense val="0"/>
        <extend val="0"/>
        <outline val="0"/>
        <shadow val="0"/>
        <u val="none"/>
        <vertAlign val="baseline"/>
        <sz val="10"/>
        <color rgb="FF000000"/>
        <name val="Arial"/>
        <family val="2"/>
        <scheme val="minor"/>
      </font>
      <numFmt numFmtId="170" formatCode="0.0000"/>
      <alignment horizontal="center" vertical="center" textRotation="0" wrapText="0" indent="0" justifyLastLine="0" shrinkToFit="0" readingOrder="0"/>
      <border diagonalUp="0" diagonalDown="0">
        <left style="hair">
          <color rgb="FF7030A0"/>
        </left>
        <right style="hair">
          <color rgb="FF7030A0"/>
        </right>
        <top style="hair">
          <color rgb="FF7030A0"/>
        </top>
        <bottom style="hair">
          <color rgb="FF7030A0"/>
        </bottom>
        <vertical/>
        <horizontal/>
      </border>
    </dxf>
    <dxf>
      <font>
        <b val="0"/>
        <i val="0"/>
        <strike val="0"/>
        <condense val="0"/>
        <extend val="0"/>
        <outline val="0"/>
        <shadow val="0"/>
        <u val="none"/>
        <vertAlign val="baseline"/>
        <sz val="10"/>
        <color rgb="FF000000"/>
        <name val="Arial"/>
        <family val="2"/>
        <scheme val="minor"/>
      </font>
      <numFmt numFmtId="170" formatCode="0.0000"/>
      <alignment horizontal="center" vertical="center" textRotation="0" wrapText="0" indent="0" justifyLastLine="0" shrinkToFit="0" readingOrder="0"/>
      <border diagonalUp="0" diagonalDown="0">
        <left style="hair">
          <color rgb="FF7030A0"/>
        </left>
        <right style="hair">
          <color rgb="FF7030A0"/>
        </right>
        <top style="hair">
          <color rgb="FF7030A0"/>
        </top>
        <bottom style="hair">
          <color rgb="FF7030A0"/>
        </bottom>
        <vertical/>
        <horizontal/>
      </border>
    </dxf>
    <dxf>
      <font>
        <b val="0"/>
        <i val="0"/>
        <strike val="0"/>
        <condense val="0"/>
        <extend val="0"/>
        <outline val="0"/>
        <shadow val="0"/>
        <u val="none"/>
        <vertAlign val="baseline"/>
        <sz val="10"/>
        <color rgb="FF000000"/>
        <name val="Arial"/>
        <family val="2"/>
        <scheme val="minor"/>
      </font>
      <numFmt numFmtId="170" formatCode="0.0000"/>
      <alignment horizontal="center" vertical="center" textRotation="0" wrapText="0" indent="0" justifyLastLine="0" shrinkToFit="0" readingOrder="0"/>
      <border diagonalUp="0" diagonalDown="0">
        <left style="hair">
          <color rgb="FF7030A0"/>
        </left>
        <right style="hair">
          <color rgb="FF7030A0"/>
        </right>
        <top style="hair">
          <color rgb="FF7030A0"/>
        </top>
        <bottom style="hair">
          <color rgb="FF7030A0"/>
        </bottom>
        <vertical/>
        <horizontal/>
      </border>
    </dxf>
    <dxf>
      <font>
        <b val="0"/>
        <i val="0"/>
        <strike val="0"/>
        <condense val="0"/>
        <extend val="0"/>
        <outline val="0"/>
        <shadow val="0"/>
        <u val="none"/>
        <vertAlign val="baseline"/>
        <sz val="10"/>
        <color rgb="FF000000"/>
        <name val="Arial"/>
        <family val="2"/>
        <scheme val="minor"/>
      </font>
      <numFmt numFmtId="170" formatCode="0.0000"/>
      <alignment horizontal="center" vertical="center" textRotation="0" wrapText="0" indent="0" justifyLastLine="0" shrinkToFit="0" readingOrder="0"/>
      <border diagonalUp="0" diagonalDown="0">
        <left style="hair">
          <color rgb="FF7030A0"/>
        </left>
        <right style="hair">
          <color rgb="FF7030A0"/>
        </right>
        <top style="hair">
          <color rgb="FF7030A0"/>
        </top>
        <bottom style="hair">
          <color rgb="FF7030A0"/>
        </bottom>
        <vertical/>
        <horizontal/>
      </border>
    </dxf>
    <dxf>
      <font>
        <b val="0"/>
        <i val="0"/>
        <strike val="0"/>
        <condense val="0"/>
        <extend val="0"/>
        <outline val="0"/>
        <shadow val="0"/>
        <u val="none"/>
        <vertAlign val="baseline"/>
        <sz val="10"/>
        <color rgb="FF000000"/>
        <name val="Arial"/>
        <family val="2"/>
        <scheme val="minor"/>
      </font>
      <numFmt numFmtId="169" formatCode="[$]dd\-mmm\-yyyy;@" x16r2:formatCode16="[$-en-PK,1]dd\-mmm\-yyyy;@"/>
      <alignment horizontal="center" vertical="center" textRotation="0" wrapText="0" indent="0" justifyLastLine="0" shrinkToFit="0" readingOrder="0"/>
      <border diagonalUp="0" diagonalDown="0">
        <left/>
        <right style="hair">
          <color rgb="FF7030A0"/>
        </right>
        <top style="hair">
          <color rgb="FF7030A0"/>
        </top>
        <bottom style="hair">
          <color rgb="FF7030A0"/>
        </bottom>
        <vertical/>
        <horizontal/>
      </border>
    </dxf>
    <dxf>
      <border outline="0">
        <left style="medium">
          <color indexed="64"/>
        </left>
      </border>
    </dxf>
    <dxf>
      <font>
        <b/>
        <i val="0"/>
        <strike val="0"/>
        <condense val="0"/>
        <extend val="0"/>
        <outline val="0"/>
        <shadow val="0"/>
        <u val="none"/>
        <vertAlign val="baseline"/>
        <sz val="10"/>
        <color rgb="FF000000"/>
        <name val="Arial"/>
        <family val="2"/>
        <scheme val="minor"/>
      </font>
      <numFmt numFmtId="3" formatCode="#,##0"/>
      <fill>
        <patternFill patternType="solid">
          <fgColor indexed="64"/>
          <bgColor theme="4" tint="0.79998168889431442"/>
        </patternFill>
      </fill>
      <alignment horizontal="center" vertical="center" textRotation="0" wrapText="1" indent="0" justifyLastLine="0" shrinkToFit="0" readingOrder="0"/>
    </dxf>
  </dxfs>
  <tableStyles count="0" defaultTableStyle="TableStyleMedium2" defaultPivotStyle="PivotStyleLight16"/>
  <colors>
    <mruColors>
      <color rgb="FFFFFF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17/10/relationships/person" Target="persons/person.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Chart'!$Z$3</c:f>
          <c:strCache>
            <c:ptCount val="1"/>
            <c:pt idx="0">
              <c:v>GT-B Corrected Heat Rate Vs Corrected Output </c:v>
            </c:pt>
          </c:strCache>
        </c:strRef>
      </c:tx>
      <c:overlay val="0"/>
      <c:spPr>
        <a:noFill/>
        <a:ln>
          <a:noFill/>
        </a:ln>
        <a:effectLst/>
      </c:spPr>
      <c:txPr>
        <a:bodyPr rot="0" spcFirstLastPara="1" vertOverflow="ellipsis" vert="horz" wrap="square" anchor="ctr" anchorCtr="1"/>
        <a:lstStyle/>
        <a:p>
          <a:pPr>
            <a:defRPr sz="14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PK"/>
        </a:p>
      </c:txPr>
    </c:title>
    <c:autoTitleDeleted val="0"/>
    <c:plotArea>
      <c:layout>
        <c:manualLayout>
          <c:layoutTarget val="inner"/>
          <c:xMode val="edge"/>
          <c:yMode val="edge"/>
          <c:x val="4.5933072103866435E-2"/>
          <c:y val="0.10945598067108178"/>
          <c:w val="0.91416271651744896"/>
          <c:h val="0.70972702625065409"/>
        </c:manualLayout>
      </c:layout>
      <c:scatterChart>
        <c:scatterStyle val="lineMarker"/>
        <c:varyColors val="0"/>
        <c:ser>
          <c:idx val="1"/>
          <c:order val="1"/>
          <c:tx>
            <c:strRef>
              <c:f>GT1B_Performance!$L$1</c:f>
              <c:strCache>
                <c:ptCount val="1"/>
                <c:pt idx="0">
                  <c:v>CorrectedHeatRate</c:v>
                </c:pt>
              </c:strCache>
            </c:strRef>
          </c:tx>
          <c:spPr>
            <a:ln w="25400" cap="rnd">
              <a:noFill/>
              <a:round/>
            </a:ln>
            <a:effectLst/>
          </c:spPr>
          <c:marker>
            <c:symbol val="circle"/>
            <c:size val="5"/>
            <c:spPr>
              <a:solidFill>
                <a:schemeClr val="accent2"/>
              </a:solidFill>
              <a:ln w="9525">
                <a:solidFill>
                  <a:schemeClr val="accent2"/>
                </a:solidFill>
              </a:ln>
              <a:effectLst/>
            </c:spPr>
          </c:marker>
          <c:xVal>
            <c:numRef>
              <c:f>GT1B_Performance!$C$2:$C$12</c:f>
              <c:numCache>
                <c:formatCode>m/d/yyyy\ h:mm</c:formatCode>
                <c:ptCount val="11"/>
                <c:pt idx="0">
                  <c:v>46104.041666666664</c:v>
                </c:pt>
                <c:pt idx="1">
                  <c:v>46104.083333333336</c:v>
                </c:pt>
                <c:pt idx="2">
                  <c:v>46104.125</c:v>
                </c:pt>
                <c:pt idx="3">
                  <c:v>46104.166666666664</c:v>
                </c:pt>
                <c:pt idx="4">
                  <c:v>46104.208333333336</c:v>
                </c:pt>
                <c:pt idx="5">
                  <c:v>46104.25</c:v>
                </c:pt>
                <c:pt idx="6">
                  <c:v>46104.833333333336</c:v>
                </c:pt>
                <c:pt idx="7">
                  <c:v>46104.875</c:v>
                </c:pt>
                <c:pt idx="8">
                  <c:v>46104.916666666664</c:v>
                </c:pt>
                <c:pt idx="9">
                  <c:v>46104.958333333336</c:v>
                </c:pt>
                <c:pt idx="10">
                  <c:v>46105</c:v>
                </c:pt>
              </c:numCache>
            </c:numRef>
          </c:xVal>
          <c:yVal>
            <c:numRef>
              <c:f>GT1B_Performance!$N$2:$N$12</c:f>
              <c:numCache>
                <c:formatCode>General</c:formatCode>
                <c:ptCount val="11"/>
                <c:pt idx="0">
                  <c:v>10446.262311753138</c:v>
                </c:pt>
                <c:pt idx="1">
                  <c:v>10576.337105252231</c:v>
                </c:pt>
                <c:pt idx="2">
                  <c:v>10509.787171335267</c:v>
                </c:pt>
                <c:pt idx="3">
                  <c:v>10420.002632211883</c:v>
                </c:pt>
                <c:pt idx="4">
                  <c:v>10521.740348378522</c:v>
                </c:pt>
                <c:pt idx="5">
                  <c:v>10563.636776353442</c:v>
                </c:pt>
                <c:pt idx="6">
                  <c:v>10412.039497240823</c:v>
                </c:pt>
                <c:pt idx="7">
                  <c:v>10223.050277607492</c:v>
                </c:pt>
                <c:pt idx="8">
                  <c:v>10379.290650937544</c:v>
                </c:pt>
                <c:pt idx="9">
                  <c:v>10410.115873358152</c:v>
                </c:pt>
                <c:pt idx="10">
                  <c:v>10561.932300595732</c:v>
                </c:pt>
              </c:numCache>
            </c:numRef>
          </c:yVal>
          <c:smooth val="0"/>
          <c:extLst>
            <c:ext xmlns:c16="http://schemas.microsoft.com/office/drawing/2014/chart" uri="{C3380CC4-5D6E-409C-BE32-E72D297353CC}">
              <c16:uniqueId val="{00000000-F68B-4935-BC0D-918F70D29A0F}"/>
            </c:ext>
          </c:extLst>
        </c:ser>
        <c:dLbls>
          <c:showLegendKey val="0"/>
          <c:showVal val="0"/>
          <c:showCatName val="0"/>
          <c:showSerName val="0"/>
          <c:showPercent val="0"/>
          <c:showBubbleSize val="0"/>
        </c:dLbls>
        <c:axId val="342559247"/>
        <c:axId val="342547247"/>
      </c:scatterChart>
      <c:scatterChart>
        <c:scatterStyle val="lineMarker"/>
        <c:varyColors val="0"/>
        <c:ser>
          <c:idx val="0"/>
          <c:order val="0"/>
          <c:tx>
            <c:strRef>
              <c:f>GT1B_Performance!$J$1</c:f>
              <c:strCache>
                <c:ptCount val="1"/>
                <c:pt idx="0">
                  <c:v>CorrectedOutput_MW</c:v>
                </c:pt>
              </c:strCache>
            </c:strRef>
          </c:tx>
          <c:spPr>
            <a:ln w="25400" cap="rnd">
              <a:noFill/>
              <a:round/>
            </a:ln>
            <a:effectLst/>
          </c:spPr>
          <c:marker>
            <c:symbol val="circle"/>
            <c:size val="5"/>
            <c:spPr>
              <a:solidFill>
                <a:schemeClr val="accent1"/>
              </a:solidFill>
              <a:ln w="9525">
                <a:solidFill>
                  <a:schemeClr val="accent1"/>
                </a:solidFill>
              </a:ln>
              <a:effectLst/>
            </c:spPr>
          </c:marker>
          <c:dLbls>
            <c:dLbl>
              <c:idx val="0"/>
              <c:tx>
                <c:rich>
                  <a:bodyPr/>
                  <a:lstStyle/>
                  <a:p>
                    <a:fld id="{E88A483A-4A9C-408B-8AD0-A8314CD6D97C}" type="CELLRANGE">
                      <a:rPr lang="en-US"/>
                      <a:pPr/>
                      <a:t>[CELLRANGE]</a:t>
                    </a:fld>
                    <a:endParaRPr lang="en-PK"/>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1D81-41A5-AB8D-4DE49C1BD997}"/>
                </c:ext>
              </c:extLst>
            </c:dLbl>
            <c:dLbl>
              <c:idx val="1"/>
              <c:tx>
                <c:rich>
                  <a:bodyPr/>
                  <a:lstStyle/>
                  <a:p>
                    <a:fld id="{6610D7E8-83CE-4D3E-9CDF-05E9DB70A88A}" type="CELLRANGE">
                      <a:rPr lang="en-PK"/>
                      <a:pPr/>
                      <a:t>[CELLRANGE]</a:t>
                    </a:fld>
                    <a:endParaRPr lang="en-PK"/>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1D81-41A5-AB8D-4DE49C1BD997}"/>
                </c:ext>
              </c:extLst>
            </c:dLbl>
            <c:dLbl>
              <c:idx val="2"/>
              <c:tx>
                <c:rich>
                  <a:bodyPr/>
                  <a:lstStyle/>
                  <a:p>
                    <a:fld id="{B194180D-26C3-4637-BEED-F0A4D36AEF0A}" type="CELLRANGE">
                      <a:rPr lang="en-PK"/>
                      <a:pPr/>
                      <a:t>[CELLRANGE]</a:t>
                    </a:fld>
                    <a:endParaRPr lang="en-PK"/>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1D81-41A5-AB8D-4DE49C1BD997}"/>
                </c:ext>
              </c:extLst>
            </c:dLbl>
            <c:dLbl>
              <c:idx val="3"/>
              <c:tx>
                <c:rich>
                  <a:bodyPr/>
                  <a:lstStyle/>
                  <a:p>
                    <a:fld id="{2FF06C47-BDDF-439B-9730-53EF5726D8E2}" type="CELLRANGE">
                      <a:rPr lang="en-PK"/>
                      <a:pPr/>
                      <a:t>[CELLRANGE]</a:t>
                    </a:fld>
                    <a:endParaRPr lang="en-PK"/>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1D81-41A5-AB8D-4DE49C1BD997}"/>
                </c:ext>
              </c:extLst>
            </c:dLbl>
            <c:dLbl>
              <c:idx val="4"/>
              <c:tx>
                <c:rich>
                  <a:bodyPr/>
                  <a:lstStyle/>
                  <a:p>
                    <a:fld id="{3D980539-B8BA-45A7-ABE1-2AA9159990D5}" type="CELLRANGE">
                      <a:rPr lang="en-PK"/>
                      <a:pPr/>
                      <a:t>[CELLRANGE]</a:t>
                    </a:fld>
                    <a:endParaRPr lang="en-PK"/>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1D81-41A5-AB8D-4DE49C1BD997}"/>
                </c:ext>
              </c:extLst>
            </c:dLbl>
            <c:dLbl>
              <c:idx val="5"/>
              <c:tx>
                <c:rich>
                  <a:bodyPr/>
                  <a:lstStyle/>
                  <a:p>
                    <a:fld id="{2BB76921-AA95-4C3F-835B-ED4696D887C7}" type="CELLRANGE">
                      <a:rPr lang="en-PK"/>
                      <a:pPr/>
                      <a:t>[CELLRANGE]</a:t>
                    </a:fld>
                    <a:endParaRPr lang="en-PK"/>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C-1D81-41A5-AB8D-4DE49C1BD997}"/>
                </c:ext>
              </c:extLst>
            </c:dLbl>
            <c:dLbl>
              <c:idx val="6"/>
              <c:tx>
                <c:rich>
                  <a:bodyPr/>
                  <a:lstStyle/>
                  <a:p>
                    <a:endParaRPr lang="en-PK"/>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0-46A5-43BE-9FB6-A1AC2977852C}"/>
                </c:ext>
              </c:extLst>
            </c:dLbl>
            <c:dLbl>
              <c:idx val="7"/>
              <c:tx>
                <c:rich>
                  <a:bodyPr/>
                  <a:lstStyle/>
                  <a:p>
                    <a:endParaRPr lang="en-PK"/>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46A5-43BE-9FB6-A1AC2977852C}"/>
                </c:ext>
              </c:extLst>
            </c:dLbl>
            <c:dLbl>
              <c:idx val="8"/>
              <c:tx>
                <c:rich>
                  <a:bodyPr/>
                  <a:lstStyle/>
                  <a:p>
                    <a:endParaRPr lang="en-PK"/>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46A5-43BE-9FB6-A1AC2977852C}"/>
                </c:ext>
              </c:extLst>
            </c:dLbl>
            <c:dLbl>
              <c:idx val="9"/>
              <c:tx>
                <c:rich>
                  <a:bodyPr/>
                  <a:lstStyle/>
                  <a:p>
                    <a:endParaRPr lang="en-PK"/>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0-B9C3-40CF-ABA0-E8D96EAA42E3}"/>
                </c:ext>
              </c:extLst>
            </c:dLbl>
            <c:dLbl>
              <c:idx val="10"/>
              <c:tx>
                <c:rich>
                  <a:bodyPr/>
                  <a:lstStyle/>
                  <a:p>
                    <a:endParaRPr lang="en-PK"/>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B9C3-40CF-ABA0-E8D96EAA42E3}"/>
                </c:ext>
              </c:extLst>
            </c:dLbl>
            <c:dLbl>
              <c:idx val="761"/>
              <c:delete val="1"/>
              <c:extLst>
                <c:ext xmlns:c15="http://schemas.microsoft.com/office/drawing/2012/chart" uri="{CE6537A1-D6FC-4f65-9D91-7224C49458BB}"/>
                <c:ext xmlns:c16="http://schemas.microsoft.com/office/drawing/2014/chart" uri="{C3380CC4-5D6E-409C-BE32-E72D297353CC}">
                  <c16:uniqueId val="{00000002-1D81-41A5-AB8D-4DE49C1BD997}"/>
                </c:ext>
              </c:extLst>
            </c:dLbl>
            <c:dLbl>
              <c:idx val="762"/>
              <c:delete val="1"/>
              <c:extLst>
                <c:ext xmlns:c15="http://schemas.microsoft.com/office/drawing/2012/chart" uri="{CE6537A1-D6FC-4f65-9D91-7224C49458BB}"/>
                <c:ext xmlns:c16="http://schemas.microsoft.com/office/drawing/2014/chart" uri="{C3380CC4-5D6E-409C-BE32-E72D297353CC}">
                  <c16:uniqueId val="{00000005-1D81-41A5-AB8D-4DE49C1BD997}"/>
                </c:ext>
              </c:extLst>
            </c:dLbl>
            <c:dLbl>
              <c:idx val="763"/>
              <c:delete val="1"/>
              <c:extLst>
                <c:ext xmlns:c15="http://schemas.microsoft.com/office/drawing/2012/chart" uri="{CE6537A1-D6FC-4f65-9D91-7224C49458BB}"/>
                <c:ext xmlns:c16="http://schemas.microsoft.com/office/drawing/2014/chart" uri="{C3380CC4-5D6E-409C-BE32-E72D297353CC}">
                  <c16:uniqueId val="{00000007-1D81-41A5-AB8D-4DE49C1BD997}"/>
                </c:ext>
              </c:extLst>
            </c:dLbl>
            <c:dLbl>
              <c:idx val="764"/>
              <c:delete val="1"/>
              <c:extLst>
                <c:ext xmlns:c15="http://schemas.microsoft.com/office/drawing/2012/chart" uri="{CE6537A1-D6FC-4f65-9D91-7224C49458BB}"/>
                <c:ext xmlns:c16="http://schemas.microsoft.com/office/drawing/2014/chart" uri="{C3380CC4-5D6E-409C-BE32-E72D297353CC}">
                  <c16:uniqueId val="{00000006-1D81-41A5-AB8D-4DE49C1BD997}"/>
                </c:ext>
              </c:extLst>
            </c:dLbl>
            <c:dLbl>
              <c:idx val="765"/>
              <c:delete val="1"/>
              <c:extLst>
                <c:ext xmlns:c15="http://schemas.microsoft.com/office/drawing/2012/chart" uri="{CE6537A1-D6FC-4f65-9D91-7224C49458BB}"/>
                <c:ext xmlns:c16="http://schemas.microsoft.com/office/drawing/2014/chart" uri="{C3380CC4-5D6E-409C-BE32-E72D297353CC}">
                  <c16:uniqueId val="{00000004-1D81-41A5-AB8D-4DE49C1BD997}"/>
                </c:ext>
              </c:extLst>
            </c:dLbl>
            <c:dLbl>
              <c:idx val="766"/>
              <c:delete val="1"/>
              <c:extLst>
                <c:ext xmlns:c15="http://schemas.microsoft.com/office/drawing/2012/chart" uri="{CE6537A1-D6FC-4f65-9D91-7224C49458BB}">
                  <c15:layout>
                    <c:manualLayout>
                      <c:w val="4.9628772651625193E-2"/>
                      <c:h val="4.6101676812430291E-2"/>
                    </c:manualLayout>
                  </c15:layout>
                </c:ext>
                <c:ext xmlns:c16="http://schemas.microsoft.com/office/drawing/2014/chart" uri="{C3380CC4-5D6E-409C-BE32-E72D297353CC}">
                  <c16:uniqueId val="{00000003-1D81-41A5-AB8D-4DE49C1BD997}"/>
                </c:ext>
              </c:extLst>
            </c:dLbl>
            <c:spPr>
              <a:solidFill>
                <a:srgbClr val="FFFFFF"/>
              </a:solidFill>
              <a:ln>
                <a:solidFill>
                  <a:srgbClr val="000000">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PK"/>
              </a:p>
            </c:txPr>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DataLabelsRange val="1"/>
                <c15:showLeaderLines val="0"/>
              </c:ext>
            </c:extLst>
          </c:dLbls>
          <c:xVal>
            <c:numRef>
              <c:f>GT1B_Performance!$C$2:$C$12</c:f>
              <c:numCache>
                <c:formatCode>m/d/yyyy\ h:mm</c:formatCode>
                <c:ptCount val="11"/>
                <c:pt idx="0">
                  <c:v>46104.041666666664</c:v>
                </c:pt>
                <c:pt idx="1">
                  <c:v>46104.083333333336</c:v>
                </c:pt>
                <c:pt idx="2">
                  <c:v>46104.125</c:v>
                </c:pt>
                <c:pt idx="3">
                  <c:v>46104.166666666664</c:v>
                </c:pt>
                <c:pt idx="4">
                  <c:v>46104.208333333336</c:v>
                </c:pt>
                <c:pt idx="5">
                  <c:v>46104.25</c:v>
                </c:pt>
                <c:pt idx="6">
                  <c:v>46104.833333333336</c:v>
                </c:pt>
                <c:pt idx="7">
                  <c:v>46104.875</c:v>
                </c:pt>
                <c:pt idx="8">
                  <c:v>46104.916666666664</c:v>
                </c:pt>
                <c:pt idx="9">
                  <c:v>46104.958333333336</c:v>
                </c:pt>
                <c:pt idx="10">
                  <c:v>46105</c:v>
                </c:pt>
              </c:numCache>
            </c:numRef>
          </c:xVal>
          <c:yVal>
            <c:numRef>
              <c:f>GT1B_Performance!$J$2:$J$12</c:f>
              <c:numCache>
                <c:formatCode>General</c:formatCode>
                <c:ptCount val="11"/>
                <c:pt idx="0">
                  <c:v>115.04871027900582</c:v>
                </c:pt>
                <c:pt idx="1">
                  <c:v>115.45275915951372</c:v>
                </c:pt>
                <c:pt idx="2">
                  <c:v>115.25459120037677</c:v>
                </c:pt>
                <c:pt idx="3">
                  <c:v>115.21009562936088</c:v>
                </c:pt>
                <c:pt idx="4">
                  <c:v>115.14837613485736</c:v>
                </c:pt>
                <c:pt idx="5">
                  <c:v>115.10196874145957</c:v>
                </c:pt>
                <c:pt idx="6">
                  <c:v>114.29797744814037</c:v>
                </c:pt>
                <c:pt idx="7">
                  <c:v>114.42634176652381</c:v>
                </c:pt>
                <c:pt idx="8">
                  <c:v>114.42812629035571</c:v>
                </c:pt>
                <c:pt idx="9">
                  <c:v>113.6772529363172</c:v>
                </c:pt>
                <c:pt idx="10">
                  <c:v>114.01734325423595</c:v>
                </c:pt>
              </c:numCache>
            </c:numRef>
          </c:yVal>
          <c:smooth val="0"/>
          <c:extLst>
            <c:ext xmlns:c15="http://schemas.microsoft.com/office/drawing/2012/chart" uri="{02D57815-91ED-43cb-92C2-25804820EDAC}">
              <c15:datalabelsRange>
                <c15:f>GT1A_Performance!$AK$2:$AK$12</c15:f>
              </c15:datalabelsRange>
            </c:ext>
            <c:ext xmlns:c16="http://schemas.microsoft.com/office/drawing/2014/chart" uri="{C3380CC4-5D6E-409C-BE32-E72D297353CC}">
              <c16:uniqueId val="{00000001-F68B-4935-BC0D-918F70D29A0F}"/>
            </c:ext>
          </c:extLst>
        </c:ser>
        <c:dLbls>
          <c:showLegendKey val="0"/>
          <c:showVal val="0"/>
          <c:showCatName val="0"/>
          <c:showSerName val="0"/>
          <c:showPercent val="0"/>
          <c:showBubbleSize val="0"/>
        </c:dLbls>
        <c:axId val="758530335"/>
        <c:axId val="758527455"/>
      </c:scatterChart>
      <c:valAx>
        <c:axId val="342559247"/>
        <c:scaling>
          <c:orientation val="minMax"/>
          <c:max val="46088"/>
          <c:min val="45977"/>
        </c:scaling>
        <c:delete val="0"/>
        <c:axPos val="b"/>
        <c:majorGridlines>
          <c:spPr>
            <a:ln w="9525" cap="flat" cmpd="sng" algn="ctr">
              <a:solidFill>
                <a:schemeClr val="tx1">
                  <a:lumMod val="15000"/>
                  <a:lumOff val="85000"/>
                </a:schemeClr>
              </a:solidFill>
              <a:round/>
            </a:ln>
            <a:effectLst/>
          </c:spPr>
        </c:majorGridlines>
        <c:numFmt formatCode="dd\.mmm\.yy\ \ \ hh:mm"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PK"/>
          </a:p>
        </c:txPr>
        <c:crossAx val="342547247"/>
        <c:crosses val="autoZero"/>
        <c:crossBetween val="midCat"/>
        <c:majorUnit val="3"/>
        <c:minorUnit val="1"/>
      </c:valAx>
      <c:valAx>
        <c:axId val="342547247"/>
        <c:scaling>
          <c:orientation val="minMax"/>
          <c:max val="11369.942273100289"/>
          <c:min val="9478.10166330623"/>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sz="1600" b="1"/>
                  <a:t>BTU / KWh</a:t>
                </a:r>
              </a:p>
            </c:rich>
          </c:tx>
          <c:layout>
            <c:manualLayout>
              <c:xMode val="edge"/>
              <c:yMode val="edge"/>
              <c:x val="1.5072300162365464E-3"/>
              <c:y val="0.37571371794417752"/>
            </c:manualLayout>
          </c:layout>
          <c:overlay val="0"/>
          <c:spPr>
            <a:noFill/>
            <a:ln>
              <a:noFill/>
            </a:ln>
            <a:effectLst/>
          </c:spPr>
          <c:txPr>
            <a:bodyPr rot="-54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PK"/>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PK"/>
          </a:p>
        </c:txPr>
        <c:crossAx val="342559247"/>
        <c:crosses val="autoZero"/>
        <c:crossBetween val="midCat"/>
      </c:valAx>
      <c:valAx>
        <c:axId val="758527455"/>
        <c:scaling>
          <c:orientation val="minMax"/>
          <c:max val="118.84147831620692"/>
          <c:min val="108.17154020511367"/>
        </c:scaling>
        <c:delete val="0"/>
        <c:axPos val="r"/>
        <c:title>
          <c:tx>
            <c:rich>
              <a:bodyPr rot="-54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r>
                  <a:rPr lang="en-US" sz="1050" b="1"/>
                  <a:t>MW</a:t>
                </a:r>
              </a:p>
            </c:rich>
          </c:tx>
          <c:overlay val="0"/>
          <c:spPr>
            <a:noFill/>
            <a:ln>
              <a:noFill/>
            </a:ln>
            <a:effectLst/>
          </c:spPr>
          <c:txPr>
            <a:bodyPr rot="-54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PK"/>
            </a:p>
          </c:txPr>
        </c:title>
        <c:numFmt formatCode="#,##0.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758530335"/>
        <c:crosses val="max"/>
        <c:crossBetween val="midCat"/>
      </c:valAx>
      <c:valAx>
        <c:axId val="758530335"/>
        <c:scaling>
          <c:orientation val="minMax"/>
        </c:scaling>
        <c:delete val="1"/>
        <c:axPos val="b"/>
        <c:numFmt formatCode="m/d/yyyy\ h:mm" sourceLinked="1"/>
        <c:majorTickMark val="out"/>
        <c:minorTickMark val="none"/>
        <c:tickLblPos val="nextTo"/>
        <c:crossAx val="758527455"/>
        <c:crosses val="autoZero"/>
        <c:crossBetween val="midCat"/>
      </c:valAx>
      <c:spPr>
        <a:noFill/>
        <a:ln>
          <a:noFill/>
        </a:ln>
        <a:effectLst/>
      </c:spPr>
    </c:plotArea>
    <c:legend>
      <c:legendPos val="t"/>
      <c:layout>
        <c:manualLayout>
          <c:xMode val="edge"/>
          <c:yMode val="edge"/>
          <c:x val="0.32375685413492566"/>
          <c:y val="4.3565576435602861E-2"/>
          <c:w val="0.35361683500084429"/>
          <c:h val="4.4034045969141414E-2"/>
        </c:manualLayout>
      </c:layout>
      <c:overlay val="0"/>
      <c:spPr>
        <a:noFill/>
        <a:ln>
          <a:noFill/>
        </a:ln>
        <a:effectLst/>
      </c:spPr>
      <c:txPr>
        <a:bodyPr rot="0" spcFirstLastPara="1" vertOverflow="ellipsis" vert="horz" wrap="square" anchor="ctr" anchorCtr="1"/>
        <a:lstStyle/>
        <a:p>
          <a:pPr>
            <a:defRPr sz="1200" b="0" i="0" u="none" strike="noStrike" kern="1200" cap="none" spc="0" baseline="0">
              <a:ln w="0"/>
              <a:solidFill>
                <a:schemeClr val="tx1"/>
              </a:solidFill>
              <a:effectLst>
                <a:outerShdw blurRad="38100" dist="19050" dir="2700000" algn="tl" rotWithShape="0">
                  <a:schemeClr val="dk1">
                    <a:alpha val="40000"/>
                  </a:schemeClr>
                </a:outerShdw>
              </a:effectLst>
              <a:latin typeface="Palatino Linotype" panose="02040502050505030304" pitchFamily="18" charset="0"/>
              <a:ea typeface="+mn-ea"/>
              <a:cs typeface="+mn-cs"/>
            </a:defRPr>
          </a:pPr>
          <a:endParaRPr lang="en-PK"/>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PK"/>
    </a:p>
  </c:txPr>
  <c:printSettings>
    <c:headerFooter/>
    <c:pageMargins b="0.33" l="0.25" r="0.25" t="0.33" header="0.3" footer="0.3"/>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Chart'!$AA$65</c:f>
          <c:strCache>
            <c:ptCount val="1"/>
            <c:pt idx="0">
              <c:v>GT-B Compressor Efficieny Vs Corrected Output </c:v>
            </c:pt>
          </c:strCache>
        </c:strRef>
      </c:tx>
      <c:overlay val="0"/>
      <c:spPr>
        <a:noFill/>
        <a:ln>
          <a:noFill/>
        </a:ln>
        <a:effectLst/>
      </c:spPr>
      <c:txPr>
        <a:bodyPr rot="0" spcFirstLastPara="1" vertOverflow="ellipsis" vert="horz" wrap="square" anchor="ctr" anchorCtr="1"/>
        <a:lstStyle/>
        <a:p>
          <a:pPr>
            <a:defRPr sz="14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PK"/>
        </a:p>
      </c:txPr>
    </c:title>
    <c:autoTitleDeleted val="0"/>
    <c:plotArea>
      <c:layout>
        <c:manualLayout>
          <c:layoutTarget val="inner"/>
          <c:xMode val="edge"/>
          <c:yMode val="edge"/>
          <c:x val="4.5933072103866435E-2"/>
          <c:y val="6.1772197865811715E-2"/>
          <c:w val="0.91416271651744896"/>
          <c:h val="0.75741079316900317"/>
        </c:manualLayout>
      </c:layout>
      <c:scatterChart>
        <c:scatterStyle val="lineMarker"/>
        <c:varyColors val="0"/>
        <c:ser>
          <c:idx val="1"/>
          <c:order val="1"/>
          <c:tx>
            <c:strRef>
              <c:f>GT1B_Performance!$AD$1</c:f>
              <c:strCache>
                <c:ptCount val="1"/>
                <c:pt idx="0">
                  <c:v>Compressor_Efficiency</c:v>
                </c:pt>
              </c:strCache>
            </c:strRef>
          </c:tx>
          <c:spPr>
            <a:ln w="25400" cap="rnd">
              <a:noFill/>
              <a:round/>
            </a:ln>
            <a:effectLst/>
          </c:spPr>
          <c:marker>
            <c:symbol val="circle"/>
            <c:size val="5"/>
            <c:spPr>
              <a:solidFill>
                <a:schemeClr val="accent2"/>
              </a:solidFill>
              <a:ln w="9525">
                <a:solidFill>
                  <a:schemeClr val="accent2"/>
                </a:solidFill>
              </a:ln>
              <a:effectLst/>
            </c:spPr>
          </c:marker>
          <c:xVal>
            <c:numRef>
              <c:f>GT1B_Performance!$C$2:$C$12</c:f>
              <c:numCache>
                <c:formatCode>m/d/yyyy\ h:mm</c:formatCode>
                <c:ptCount val="11"/>
                <c:pt idx="0">
                  <c:v>46104.041666666664</c:v>
                </c:pt>
                <c:pt idx="1">
                  <c:v>46104.083333333336</c:v>
                </c:pt>
                <c:pt idx="2">
                  <c:v>46104.125</c:v>
                </c:pt>
                <c:pt idx="3">
                  <c:v>46104.166666666664</c:v>
                </c:pt>
                <c:pt idx="4">
                  <c:v>46104.208333333336</c:v>
                </c:pt>
                <c:pt idx="5">
                  <c:v>46104.25</c:v>
                </c:pt>
                <c:pt idx="6">
                  <c:v>46104.833333333336</c:v>
                </c:pt>
                <c:pt idx="7">
                  <c:v>46104.875</c:v>
                </c:pt>
                <c:pt idx="8">
                  <c:v>46104.916666666664</c:v>
                </c:pt>
                <c:pt idx="9">
                  <c:v>46104.958333333336</c:v>
                </c:pt>
                <c:pt idx="10">
                  <c:v>46105</c:v>
                </c:pt>
              </c:numCache>
            </c:numRef>
          </c:xVal>
          <c:yVal>
            <c:numRef>
              <c:f>GT1B_Performance!$AD$2:$AD$12</c:f>
              <c:numCache>
                <c:formatCode>General</c:formatCode>
                <c:ptCount val="11"/>
                <c:pt idx="0">
                  <c:v>0.86372824950762295</c:v>
                </c:pt>
                <c:pt idx="1">
                  <c:v>0.86323086084948197</c:v>
                </c:pt>
                <c:pt idx="2">
                  <c:v>0.86360774044199196</c:v>
                </c:pt>
                <c:pt idx="3">
                  <c:v>0.863542583835467</c:v>
                </c:pt>
                <c:pt idx="4">
                  <c:v>0.86359791559830601</c:v>
                </c:pt>
                <c:pt idx="5">
                  <c:v>0.86315756748944705</c:v>
                </c:pt>
                <c:pt idx="6">
                  <c:v>0.86378216637626204</c:v>
                </c:pt>
                <c:pt idx="7">
                  <c:v>0.871172291387044</c:v>
                </c:pt>
                <c:pt idx="8">
                  <c:v>0.87295146632748499</c:v>
                </c:pt>
                <c:pt idx="9">
                  <c:v>0.86611115968448005</c:v>
                </c:pt>
                <c:pt idx="10">
                  <c:v>0.86563990867543406</c:v>
                </c:pt>
              </c:numCache>
            </c:numRef>
          </c:yVal>
          <c:smooth val="0"/>
          <c:extLst>
            <c:ext xmlns:c16="http://schemas.microsoft.com/office/drawing/2014/chart" uri="{C3380CC4-5D6E-409C-BE32-E72D297353CC}">
              <c16:uniqueId val="{00000000-36A8-4C61-9B3C-2C8482F885DF}"/>
            </c:ext>
          </c:extLst>
        </c:ser>
        <c:dLbls>
          <c:showLegendKey val="0"/>
          <c:showVal val="0"/>
          <c:showCatName val="0"/>
          <c:showSerName val="0"/>
          <c:showPercent val="0"/>
          <c:showBubbleSize val="0"/>
        </c:dLbls>
        <c:axId val="342559247"/>
        <c:axId val="342547247"/>
      </c:scatterChart>
      <c:scatterChart>
        <c:scatterStyle val="lineMarker"/>
        <c:varyColors val="0"/>
        <c:ser>
          <c:idx val="0"/>
          <c:order val="0"/>
          <c:tx>
            <c:strRef>
              <c:f>GT1B_Performance!$J$1</c:f>
              <c:strCache>
                <c:ptCount val="1"/>
                <c:pt idx="0">
                  <c:v>CorrectedOutput_MW</c:v>
                </c:pt>
              </c:strCache>
            </c:strRef>
          </c:tx>
          <c:spPr>
            <a:ln w="25400" cap="rnd">
              <a:noFill/>
              <a:round/>
            </a:ln>
            <a:effectLst/>
          </c:spPr>
          <c:marker>
            <c:symbol val="circle"/>
            <c:size val="5"/>
            <c:spPr>
              <a:solidFill>
                <a:schemeClr val="accent1"/>
              </a:solidFill>
              <a:ln w="9525">
                <a:solidFill>
                  <a:schemeClr val="accent1"/>
                </a:solidFill>
              </a:ln>
              <a:effectLst/>
            </c:spPr>
          </c:marker>
          <c:dLbls>
            <c:delete val="1"/>
          </c:dLbls>
          <c:xVal>
            <c:numRef>
              <c:f>GT1B_Performance!$C$2:$C$12</c:f>
              <c:numCache>
                <c:formatCode>m/d/yyyy\ h:mm</c:formatCode>
                <c:ptCount val="11"/>
                <c:pt idx="0">
                  <c:v>46104.041666666664</c:v>
                </c:pt>
                <c:pt idx="1">
                  <c:v>46104.083333333336</c:v>
                </c:pt>
                <c:pt idx="2">
                  <c:v>46104.125</c:v>
                </c:pt>
                <c:pt idx="3">
                  <c:v>46104.166666666664</c:v>
                </c:pt>
                <c:pt idx="4">
                  <c:v>46104.208333333336</c:v>
                </c:pt>
                <c:pt idx="5">
                  <c:v>46104.25</c:v>
                </c:pt>
                <c:pt idx="6">
                  <c:v>46104.833333333336</c:v>
                </c:pt>
                <c:pt idx="7">
                  <c:v>46104.875</c:v>
                </c:pt>
                <c:pt idx="8">
                  <c:v>46104.916666666664</c:v>
                </c:pt>
                <c:pt idx="9">
                  <c:v>46104.958333333336</c:v>
                </c:pt>
                <c:pt idx="10">
                  <c:v>46105</c:v>
                </c:pt>
              </c:numCache>
            </c:numRef>
          </c:xVal>
          <c:yVal>
            <c:numRef>
              <c:f>GT1B_Performance!$J$2:$J$12</c:f>
              <c:numCache>
                <c:formatCode>General</c:formatCode>
                <c:ptCount val="11"/>
                <c:pt idx="0">
                  <c:v>115.04871027900582</c:v>
                </c:pt>
                <c:pt idx="1">
                  <c:v>115.45275915951372</c:v>
                </c:pt>
                <c:pt idx="2">
                  <c:v>115.25459120037677</c:v>
                </c:pt>
                <c:pt idx="3">
                  <c:v>115.21009562936088</c:v>
                </c:pt>
                <c:pt idx="4">
                  <c:v>115.14837613485736</c:v>
                </c:pt>
                <c:pt idx="5">
                  <c:v>115.10196874145957</c:v>
                </c:pt>
                <c:pt idx="6">
                  <c:v>114.29797744814037</c:v>
                </c:pt>
                <c:pt idx="7">
                  <c:v>114.42634176652381</c:v>
                </c:pt>
                <c:pt idx="8">
                  <c:v>114.42812629035571</c:v>
                </c:pt>
                <c:pt idx="9">
                  <c:v>113.6772529363172</c:v>
                </c:pt>
                <c:pt idx="10">
                  <c:v>114.01734325423595</c:v>
                </c:pt>
              </c:numCache>
            </c:numRef>
          </c:yVal>
          <c:smooth val="0"/>
          <c:extLst>
            <c:ext xmlns:c16="http://schemas.microsoft.com/office/drawing/2014/chart" uri="{C3380CC4-5D6E-409C-BE32-E72D297353CC}">
              <c16:uniqueId val="{00000528-36A8-4C61-9B3C-2C8482F885DF}"/>
            </c:ext>
          </c:extLst>
        </c:ser>
        <c:dLbls>
          <c:showLegendKey val="0"/>
          <c:showVal val="1"/>
          <c:showCatName val="0"/>
          <c:showSerName val="0"/>
          <c:showPercent val="0"/>
          <c:showBubbleSize val="0"/>
        </c:dLbls>
        <c:axId val="758530335"/>
        <c:axId val="758527455"/>
      </c:scatterChart>
      <c:valAx>
        <c:axId val="342559247"/>
        <c:scaling>
          <c:orientation val="minMax"/>
          <c:max val="46088"/>
          <c:min val="45977"/>
        </c:scaling>
        <c:delete val="0"/>
        <c:axPos val="b"/>
        <c:majorGridlines>
          <c:spPr>
            <a:ln w="9525" cap="flat" cmpd="sng" algn="ctr">
              <a:solidFill>
                <a:schemeClr val="tx1">
                  <a:lumMod val="15000"/>
                  <a:lumOff val="85000"/>
                </a:schemeClr>
              </a:solidFill>
              <a:round/>
            </a:ln>
            <a:effectLst/>
          </c:spPr>
        </c:majorGridlines>
        <c:numFmt formatCode="dd\.mmm\.yy\ \ \ hh:mm"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PK"/>
          </a:p>
        </c:txPr>
        <c:crossAx val="342547247"/>
        <c:crosses val="autoZero"/>
        <c:crossBetween val="midCat"/>
        <c:majorUnit val="3"/>
        <c:minorUnit val="1"/>
      </c:valAx>
      <c:valAx>
        <c:axId val="342547247"/>
        <c:scaling>
          <c:orientation val="minMax"/>
          <c:max val="0.88673696783676126"/>
          <c:min val="0.8389864400607998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sz="1600" b="1"/>
                  <a:t>Compressor</a:t>
                </a:r>
                <a:r>
                  <a:rPr lang="en-US" sz="1600" b="1" baseline="0"/>
                  <a:t> E</a:t>
                </a:r>
                <a:r>
                  <a:rPr lang="en-US" sz="1600" b="1"/>
                  <a:t>fficiency</a:t>
                </a:r>
              </a:p>
            </c:rich>
          </c:tx>
          <c:layout>
            <c:manualLayout>
              <c:xMode val="edge"/>
              <c:yMode val="edge"/>
              <c:x val="1.5072300162365464E-3"/>
              <c:y val="0.37571371794417752"/>
            </c:manualLayout>
          </c:layout>
          <c:overlay val="0"/>
          <c:spPr>
            <a:noFill/>
            <a:ln>
              <a:noFill/>
            </a:ln>
            <a:effectLst/>
          </c:spPr>
          <c:txPr>
            <a:bodyPr rot="-54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PK"/>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PK"/>
          </a:p>
        </c:txPr>
        <c:crossAx val="342559247"/>
        <c:crosses val="autoZero"/>
        <c:crossBetween val="midCat"/>
      </c:valAx>
      <c:valAx>
        <c:axId val="758527455"/>
        <c:scaling>
          <c:orientation val="minMax"/>
          <c:max val="118.84147831620692"/>
          <c:min val="108.17154020511367"/>
        </c:scaling>
        <c:delete val="0"/>
        <c:axPos val="r"/>
        <c:title>
          <c:tx>
            <c:rich>
              <a:bodyPr rot="-54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r>
                  <a:rPr lang="en-US" sz="1050" b="1"/>
                  <a:t>MW</a:t>
                </a:r>
              </a:p>
            </c:rich>
          </c:tx>
          <c:overlay val="0"/>
          <c:spPr>
            <a:noFill/>
            <a:ln>
              <a:noFill/>
            </a:ln>
            <a:effectLst/>
          </c:spPr>
          <c:txPr>
            <a:bodyPr rot="-54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PK"/>
            </a:p>
          </c:txPr>
        </c:title>
        <c:numFmt formatCode="#,##0.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758530335"/>
        <c:crosses val="max"/>
        <c:crossBetween val="midCat"/>
      </c:valAx>
      <c:valAx>
        <c:axId val="758530335"/>
        <c:scaling>
          <c:orientation val="minMax"/>
        </c:scaling>
        <c:delete val="1"/>
        <c:axPos val="b"/>
        <c:numFmt formatCode="m/d/yyyy\ h:mm" sourceLinked="1"/>
        <c:majorTickMark val="out"/>
        <c:minorTickMark val="none"/>
        <c:tickLblPos val="nextTo"/>
        <c:crossAx val="758527455"/>
        <c:crosses val="autoZero"/>
        <c:crossBetween val="midCat"/>
      </c:valAx>
      <c:spPr>
        <a:noFill/>
        <a:ln>
          <a:noFill/>
        </a:ln>
        <a:effectLst/>
      </c:spPr>
    </c:plotArea>
    <c:legend>
      <c:legendPos val="t"/>
      <c:layout>
        <c:manualLayout>
          <c:xMode val="edge"/>
          <c:yMode val="edge"/>
          <c:x val="0.25512297820360186"/>
          <c:y val="2.7534906512666418E-2"/>
          <c:w val="0.50843612646118685"/>
          <c:h val="4.4034045969141414E-2"/>
        </c:manualLayout>
      </c:layout>
      <c:overlay val="0"/>
      <c:spPr>
        <a:noFill/>
        <a:ln>
          <a:noFill/>
        </a:ln>
        <a:effectLst/>
      </c:spPr>
      <c:txPr>
        <a:bodyPr rot="0" spcFirstLastPara="1" vertOverflow="ellipsis" vert="horz" wrap="square" anchor="ctr" anchorCtr="1"/>
        <a:lstStyle/>
        <a:p>
          <a:pPr>
            <a:defRPr sz="1200" b="0" i="0" u="none" strike="noStrike" kern="1200" cap="none" spc="0" baseline="0">
              <a:ln w="0"/>
              <a:solidFill>
                <a:schemeClr val="tx1"/>
              </a:solidFill>
              <a:effectLst>
                <a:outerShdw blurRad="38100" dist="19050" dir="2700000" algn="tl" rotWithShape="0">
                  <a:schemeClr val="dk1">
                    <a:alpha val="40000"/>
                  </a:schemeClr>
                </a:outerShdw>
              </a:effectLst>
              <a:latin typeface="Palatino Linotype" panose="02040502050505030304" pitchFamily="18" charset="0"/>
              <a:ea typeface="+mn-ea"/>
              <a:cs typeface="+mn-cs"/>
            </a:defRPr>
          </a:pPr>
          <a:endParaRPr lang="en-PK"/>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PK"/>
    </a:p>
  </c:txPr>
  <c:printSettings>
    <c:headerFooter/>
    <c:pageMargins b="0.33" l="0.25" r="0.25" t="0.33" header="0.3" footer="0.3"/>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Chart'!$AA$127</c:f>
          <c:strCache>
            <c:ptCount val="1"/>
            <c:pt idx="0">
              <c:v>GT-B Compressor Efficieny Vs Compressor Pressure Ratio </c:v>
            </c:pt>
          </c:strCache>
        </c:strRef>
      </c:tx>
      <c:overlay val="0"/>
      <c:spPr>
        <a:noFill/>
        <a:ln>
          <a:noFill/>
        </a:ln>
        <a:effectLst/>
      </c:spPr>
      <c:txPr>
        <a:bodyPr rot="0" spcFirstLastPara="1" vertOverflow="ellipsis" vert="horz" wrap="square" anchor="ctr" anchorCtr="1"/>
        <a:lstStyle/>
        <a:p>
          <a:pPr>
            <a:defRPr sz="14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PK"/>
        </a:p>
      </c:txPr>
    </c:title>
    <c:autoTitleDeleted val="0"/>
    <c:plotArea>
      <c:layout>
        <c:manualLayout>
          <c:layoutTarget val="inner"/>
          <c:xMode val="edge"/>
          <c:yMode val="edge"/>
          <c:x val="4.5933072103866435E-2"/>
          <c:y val="5.6870242569551935E-2"/>
          <c:w val="0.91416271651744896"/>
          <c:h val="0.76231280703719106"/>
        </c:manualLayout>
      </c:layout>
      <c:scatterChart>
        <c:scatterStyle val="lineMarker"/>
        <c:varyColors val="0"/>
        <c:ser>
          <c:idx val="1"/>
          <c:order val="1"/>
          <c:tx>
            <c:strRef>
              <c:f>GT1B_Performance!$AD$1</c:f>
              <c:strCache>
                <c:ptCount val="1"/>
                <c:pt idx="0">
                  <c:v>Compressor_Efficiency</c:v>
                </c:pt>
              </c:strCache>
            </c:strRef>
          </c:tx>
          <c:spPr>
            <a:ln w="25400" cap="rnd">
              <a:noFill/>
              <a:round/>
            </a:ln>
            <a:effectLst/>
          </c:spPr>
          <c:marker>
            <c:symbol val="circle"/>
            <c:size val="5"/>
            <c:spPr>
              <a:solidFill>
                <a:schemeClr val="accent2"/>
              </a:solidFill>
              <a:ln w="9525">
                <a:solidFill>
                  <a:schemeClr val="accent2"/>
                </a:solidFill>
              </a:ln>
              <a:effectLst/>
            </c:spPr>
          </c:marker>
          <c:xVal>
            <c:numRef>
              <c:f>GT1B_Performance!$C$2:$C$12</c:f>
              <c:numCache>
                <c:formatCode>m/d/yyyy\ h:mm</c:formatCode>
                <c:ptCount val="11"/>
                <c:pt idx="0">
                  <c:v>46104.041666666664</c:v>
                </c:pt>
                <c:pt idx="1">
                  <c:v>46104.083333333336</c:v>
                </c:pt>
                <c:pt idx="2">
                  <c:v>46104.125</c:v>
                </c:pt>
                <c:pt idx="3">
                  <c:v>46104.166666666664</c:v>
                </c:pt>
                <c:pt idx="4">
                  <c:v>46104.208333333336</c:v>
                </c:pt>
                <c:pt idx="5">
                  <c:v>46104.25</c:v>
                </c:pt>
                <c:pt idx="6">
                  <c:v>46104.833333333336</c:v>
                </c:pt>
                <c:pt idx="7">
                  <c:v>46104.875</c:v>
                </c:pt>
                <c:pt idx="8">
                  <c:v>46104.916666666664</c:v>
                </c:pt>
                <c:pt idx="9">
                  <c:v>46104.958333333336</c:v>
                </c:pt>
                <c:pt idx="10">
                  <c:v>46105</c:v>
                </c:pt>
              </c:numCache>
            </c:numRef>
          </c:xVal>
          <c:yVal>
            <c:numRef>
              <c:f>GT1B_Performance!$AD$2:$AD$12</c:f>
              <c:numCache>
                <c:formatCode>General</c:formatCode>
                <c:ptCount val="11"/>
                <c:pt idx="0">
                  <c:v>0.86372824950762295</c:v>
                </c:pt>
                <c:pt idx="1">
                  <c:v>0.86323086084948197</c:v>
                </c:pt>
                <c:pt idx="2">
                  <c:v>0.86360774044199196</c:v>
                </c:pt>
                <c:pt idx="3">
                  <c:v>0.863542583835467</c:v>
                </c:pt>
                <c:pt idx="4">
                  <c:v>0.86359791559830601</c:v>
                </c:pt>
                <c:pt idx="5">
                  <c:v>0.86315756748944705</c:v>
                </c:pt>
                <c:pt idx="6">
                  <c:v>0.86378216637626204</c:v>
                </c:pt>
                <c:pt idx="7">
                  <c:v>0.871172291387044</c:v>
                </c:pt>
                <c:pt idx="8">
                  <c:v>0.87295146632748499</c:v>
                </c:pt>
                <c:pt idx="9">
                  <c:v>0.86611115968448005</c:v>
                </c:pt>
                <c:pt idx="10">
                  <c:v>0.86563990867543406</c:v>
                </c:pt>
              </c:numCache>
            </c:numRef>
          </c:yVal>
          <c:smooth val="0"/>
          <c:extLst>
            <c:ext xmlns:c16="http://schemas.microsoft.com/office/drawing/2014/chart" uri="{C3380CC4-5D6E-409C-BE32-E72D297353CC}">
              <c16:uniqueId val="{00000000-A572-4089-9E9A-C78A74694E7F}"/>
            </c:ext>
          </c:extLst>
        </c:ser>
        <c:dLbls>
          <c:showLegendKey val="0"/>
          <c:showVal val="0"/>
          <c:showCatName val="0"/>
          <c:showSerName val="0"/>
          <c:showPercent val="0"/>
          <c:showBubbleSize val="0"/>
        </c:dLbls>
        <c:axId val="342559247"/>
        <c:axId val="342547247"/>
      </c:scatterChart>
      <c:scatterChart>
        <c:scatterStyle val="lineMarker"/>
        <c:varyColors val="0"/>
        <c:ser>
          <c:idx val="0"/>
          <c:order val="0"/>
          <c:tx>
            <c:strRef>
              <c:f>GT1B_Performance!$AC$1</c:f>
              <c:strCache>
                <c:ptCount val="1"/>
                <c:pt idx="0">
                  <c:v>Compressor_PR</c:v>
                </c:pt>
              </c:strCache>
            </c:strRef>
          </c:tx>
          <c:spPr>
            <a:ln w="25400" cap="rnd">
              <a:noFill/>
              <a:round/>
            </a:ln>
            <a:effectLst/>
          </c:spPr>
          <c:marker>
            <c:symbol val="circle"/>
            <c:size val="5"/>
            <c:spPr>
              <a:solidFill>
                <a:schemeClr val="accent1"/>
              </a:solidFill>
              <a:ln w="9525">
                <a:solidFill>
                  <a:schemeClr val="accent1"/>
                </a:solidFill>
              </a:ln>
              <a:effectLst/>
            </c:spPr>
          </c:marker>
          <c:xVal>
            <c:numRef>
              <c:f>GT1B_Performance!$C$2:$C$12</c:f>
              <c:numCache>
                <c:formatCode>m/d/yyyy\ h:mm</c:formatCode>
                <c:ptCount val="11"/>
                <c:pt idx="0">
                  <c:v>46104.041666666664</c:v>
                </c:pt>
                <c:pt idx="1">
                  <c:v>46104.083333333336</c:v>
                </c:pt>
                <c:pt idx="2">
                  <c:v>46104.125</c:v>
                </c:pt>
                <c:pt idx="3">
                  <c:v>46104.166666666664</c:v>
                </c:pt>
                <c:pt idx="4">
                  <c:v>46104.208333333336</c:v>
                </c:pt>
                <c:pt idx="5">
                  <c:v>46104.25</c:v>
                </c:pt>
                <c:pt idx="6">
                  <c:v>46104.833333333336</c:v>
                </c:pt>
                <c:pt idx="7">
                  <c:v>46104.875</c:v>
                </c:pt>
                <c:pt idx="8">
                  <c:v>46104.916666666664</c:v>
                </c:pt>
                <c:pt idx="9">
                  <c:v>46104.958333333336</c:v>
                </c:pt>
                <c:pt idx="10">
                  <c:v>46105</c:v>
                </c:pt>
              </c:numCache>
            </c:numRef>
          </c:xVal>
          <c:yVal>
            <c:numRef>
              <c:f>GT1B_Performance!$AC$2:$AC$12</c:f>
              <c:numCache>
                <c:formatCode>General</c:formatCode>
                <c:ptCount val="11"/>
                <c:pt idx="0">
                  <c:v>11.29853642441409</c:v>
                </c:pt>
                <c:pt idx="1">
                  <c:v>11.320206974164828</c:v>
                </c:pt>
                <c:pt idx="2">
                  <c:v>11.278996310212673</c:v>
                </c:pt>
                <c:pt idx="3">
                  <c:v>11.303218544550678</c:v>
                </c:pt>
                <c:pt idx="4">
                  <c:v>11.339284928334987</c:v>
                </c:pt>
                <c:pt idx="5">
                  <c:v>11.341693694307766</c:v>
                </c:pt>
                <c:pt idx="6">
                  <c:v>11.074843873198239</c:v>
                </c:pt>
                <c:pt idx="7">
                  <c:v>11.177090025751005</c:v>
                </c:pt>
                <c:pt idx="8">
                  <c:v>11.241577118339118</c:v>
                </c:pt>
                <c:pt idx="9">
                  <c:v>11.18493330459706</c:v>
                </c:pt>
                <c:pt idx="10">
                  <c:v>11.249662307167256</c:v>
                </c:pt>
              </c:numCache>
            </c:numRef>
          </c:yVal>
          <c:smooth val="0"/>
          <c:extLst>
            <c:ext xmlns:c16="http://schemas.microsoft.com/office/drawing/2014/chart" uri="{C3380CC4-5D6E-409C-BE32-E72D297353CC}">
              <c16:uniqueId val="{00000528-A572-4089-9E9A-C78A74694E7F}"/>
            </c:ext>
          </c:extLst>
        </c:ser>
        <c:dLbls>
          <c:showLegendKey val="0"/>
          <c:showVal val="0"/>
          <c:showCatName val="0"/>
          <c:showSerName val="0"/>
          <c:showPercent val="0"/>
          <c:showBubbleSize val="0"/>
        </c:dLbls>
        <c:axId val="758530335"/>
        <c:axId val="758527455"/>
      </c:scatterChart>
      <c:valAx>
        <c:axId val="342559247"/>
        <c:scaling>
          <c:orientation val="minMax"/>
          <c:max val="46088"/>
          <c:min val="45977"/>
        </c:scaling>
        <c:delete val="0"/>
        <c:axPos val="b"/>
        <c:majorGridlines>
          <c:spPr>
            <a:ln w="9525" cap="flat" cmpd="sng" algn="ctr">
              <a:solidFill>
                <a:schemeClr val="tx1">
                  <a:lumMod val="15000"/>
                  <a:lumOff val="85000"/>
                </a:schemeClr>
              </a:solidFill>
              <a:round/>
            </a:ln>
            <a:effectLst/>
          </c:spPr>
        </c:majorGridlines>
        <c:numFmt formatCode="dd\.mmm\.yy\ \ \ hh:mm"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PK"/>
          </a:p>
        </c:txPr>
        <c:crossAx val="342547247"/>
        <c:crosses val="autoZero"/>
        <c:crossBetween val="midCat"/>
        <c:majorUnit val="3"/>
        <c:minorUnit val="1"/>
      </c:valAx>
      <c:valAx>
        <c:axId val="342547247"/>
        <c:scaling>
          <c:orientation val="minMax"/>
          <c:max val="0.88673696783676126"/>
          <c:min val="0.8389864400607998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sz="1600" b="1"/>
                  <a:t>Compressor Efficiency</a:t>
                </a:r>
              </a:p>
            </c:rich>
          </c:tx>
          <c:layout>
            <c:manualLayout>
              <c:xMode val="edge"/>
              <c:yMode val="edge"/>
              <c:x val="1.5072300162365464E-3"/>
              <c:y val="0.37571371794417752"/>
            </c:manualLayout>
          </c:layout>
          <c:overlay val="0"/>
          <c:spPr>
            <a:noFill/>
            <a:ln>
              <a:noFill/>
            </a:ln>
            <a:effectLst/>
          </c:spPr>
          <c:txPr>
            <a:bodyPr rot="-54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PK"/>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PK"/>
          </a:p>
        </c:txPr>
        <c:crossAx val="342559247"/>
        <c:crosses val="autoZero"/>
        <c:crossBetween val="midCat"/>
      </c:valAx>
      <c:valAx>
        <c:axId val="758527455"/>
        <c:scaling>
          <c:orientation val="minMax"/>
          <c:max val="12.20658467131247"/>
          <c:min val="10.570039093609456"/>
        </c:scaling>
        <c:delete val="0"/>
        <c:axPos val="r"/>
        <c:title>
          <c:tx>
            <c:rich>
              <a:bodyPr rot="-54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r>
                  <a:rPr lang="en-US" sz="1050" b="1"/>
                  <a:t>Compressor Pressure Ratio</a:t>
                </a:r>
              </a:p>
            </c:rich>
          </c:tx>
          <c:overlay val="0"/>
          <c:spPr>
            <a:noFill/>
            <a:ln>
              <a:noFill/>
            </a:ln>
            <a:effectLst/>
          </c:spPr>
          <c:txPr>
            <a:bodyPr rot="-54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PK"/>
            </a:p>
          </c:txPr>
        </c:title>
        <c:numFmt formatCode="#,##0.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758530335"/>
        <c:crosses val="max"/>
        <c:crossBetween val="midCat"/>
      </c:valAx>
      <c:valAx>
        <c:axId val="758530335"/>
        <c:scaling>
          <c:orientation val="minMax"/>
        </c:scaling>
        <c:delete val="1"/>
        <c:axPos val="b"/>
        <c:numFmt formatCode="m/d/yyyy\ h:mm" sourceLinked="1"/>
        <c:majorTickMark val="out"/>
        <c:minorTickMark val="none"/>
        <c:tickLblPos val="nextTo"/>
        <c:crossAx val="758527455"/>
        <c:crosses val="autoZero"/>
        <c:crossBetween val="midCat"/>
      </c:valAx>
      <c:spPr>
        <a:noFill/>
        <a:ln>
          <a:noFill/>
        </a:ln>
        <a:effectLst/>
      </c:spPr>
    </c:plotArea>
    <c:legend>
      <c:legendPos val="t"/>
      <c:layout>
        <c:manualLayout>
          <c:xMode val="edge"/>
          <c:yMode val="edge"/>
          <c:x val="0.19708751479964953"/>
          <c:y val="2.6079035384311E-2"/>
          <c:w val="0.59810624016356317"/>
          <c:h val="4.4034045969141414E-2"/>
        </c:manualLayout>
      </c:layout>
      <c:overlay val="0"/>
      <c:spPr>
        <a:noFill/>
        <a:ln>
          <a:noFill/>
        </a:ln>
        <a:effectLst/>
      </c:spPr>
      <c:txPr>
        <a:bodyPr rot="0" spcFirstLastPara="1" vertOverflow="ellipsis" vert="horz" wrap="square" anchor="ctr" anchorCtr="1"/>
        <a:lstStyle/>
        <a:p>
          <a:pPr>
            <a:defRPr sz="1200" b="0" i="0" u="none" strike="noStrike" kern="1200" cap="none" spc="0" baseline="0">
              <a:ln w="0"/>
              <a:solidFill>
                <a:schemeClr val="tx1"/>
              </a:solidFill>
              <a:effectLst>
                <a:outerShdw blurRad="38100" dist="19050" dir="2700000" algn="tl" rotWithShape="0">
                  <a:schemeClr val="dk1">
                    <a:alpha val="40000"/>
                  </a:schemeClr>
                </a:outerShdw>
              </a:effectLst>
              <a:latin typeface="Palatino Linotype" panose="02040502050505030304" pitchFamily="18" charset="0"/>
              <a:ea typeface="+mn-ea"/>
              <a:cs typeface="+mn-cs"/>
            </a:defRPr>
          </a:pPr>
          <a:endParaRPr lang="en-PK"/>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PK"/>
    </a:p>
  </c:txPr>
  <c:printSettings>
    <c:headerFooter/>
    <c:pageMargins b="0.33" l="0.25" r="0.25" t="0.33" header="0.3" footer="0.3"/>
    <c:pageSetup paperSize="9"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22411</xdr:colOff>
      <xdr:row>0</xdr:row>
      <xdr:rowOff>58158</xdr:rowOff>
    </xdr:from>
    <xdr:to>
      <xdr:col>23</xdr:col>
      <xdr:colOff>549088</xdr:colOff>
      <xdr:row>61</xdr:row>
      <xdr:rowOff>53340</xdr:rowOff>
    </xdr:to>
    <xdr:graphicFrame macro="">
      <xdr:nvGraphicFramePr>
        <xdr:cNvPr id="3" name="Chart_HeatRate">
          <a:extLst>
            <a:ext uri="{FF2B5EF4-FFF2-40B4-BE49-F238E27FC236}">
              <a16:creationId xmlns:a16="http://schemas.microsoft.com/office/drawing/2014/main" id="{04E2E70C-4AA7-44EE-AF9E-457BE6FA3F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27772</xdr:colOff>
      <xdr:row>62</xdr:row>
      <xdr:rowOff>33618</xdr:rowOff>
    </xdr:from>
    <xdr:to>
      <xdr:col>23</xdr:col>
      <xdr:colOff>552544</xdr:colOff>
      <xdr:row>123</xdr:row>
      <xdr:rowOff>30705</xdr:rowOff>
    </xdr:to>
    <xdr:graphicFrame macro="">
      <xdr:nvGraphicFramePr>
        <xdr:cNvPr id="4" name="Chart_CompEff">
          <a:extLst>
            <a:ext uri="{FF2B5EF4-FFF2-40B4-BE49-F238E27FC236}">
              <a16:creationId xmlns:a16="http://schemas.microsoft.com/office/drawing/2014/main" id="{01667BF3-D858-4680-A595-355F58265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38002</xdr:colOff>
      <xdr:row>124</xdr:row>
      <xdr:rowOff>91109</xdr:rowOff>
    </xdr:from>
    <xdr:to>
      <xdr:col>23</xdr:col>
      <xdr:colOff>566584</xdr:colOff>
      <xdr:row>185</xdr:row>
      <xdr:rowOff>90631</xdr:rowOff>
    </xdr:to>
    <xdr:graphicFrame macro="">
      <xdr:nvGraphicFramePr>
        <xdr:cNvPr id="5" name="Chart_CompPR">
          <a:extLst>
            <a:ext uri="{FF2B5EF4-FFF2-40B4-BE49-F238E27FC236}">
              <a16:creationId xmlns:a16="http://schemas.microsoft.com/office/drawing/2014/main" id="{1B04B25E-58DE-4E65-8352-AE40EC0A80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17</xdr:col>
      <xdr:colOff>321945</xdr:colOff>
      <xdr:row>0</xdr:row>
      <xdr:rowOff>38100</xdr:rowOff>
    </xdr:from>
    <xdr:to>
      <xdr:col>20</xdr:col>
      <xdr:colOff>666750</xdr:colOff>
      <xdr:row>1</xdr:row>
      <xdr:rowOff>1904</xdr:rowOff>
    </xdr:to>
    <mc:AlternateContent xmlns:mc="http://schemas.openxmlformats.org/markup-compatibility/2006" xmlns:sle15="http://schemas.microsoft.com/office/drawing/2012/slicer">
      <mc:Choice Requires="sle15">
        <xdr:graphicFrame macro="">
          <xdr:nvGraphicFramePr>
            <xdr:cNvPr id="2" name="Gas Turbine">
              <a:extLst>
                <a:ext uri="{FF2B5EF4-FFF2-40B4-BE49-F238E27FC236}">
                  <a16:creationId xmlns:a16="http://schemas.microsoft.com/office/drawing/2014/main" id="{EE9C769B-DCFA-7EAB-BB17-1FA2106ACF50}"/>
                </a:ext>
              </a:extLst>
            </xdr:cNvPr>
            <xdr:cNvGraphicFramePr/>
          </xdr:nvGraphicFramePr>
          <xdr:xfrm>
            <a:off x="0" y="0"/>
            <a:ext cx="0" cy="0"/>
          </xdr:xfrm>
          <a:graphic>
            <a:graphicData uri="http://schemas.microsoft.com/office/drawing/2010/slicer">
              <sle:slicer xmlns:sle="http://schemas.microsoft.com/office/drawing/2010/slicer" name="Gas Turbine"/>
            </a:graphicData>
          </a:graphic>
        </xdr:graphicFrame>
      </mc:Choice>
      <mc:Fallback xmlns="">
        <xdr:sp macro="" textlink="">
          <xdr:nvSpPr>
            <xdr:cNvPr id="0" name=""/>
            <xdr:cNvSpPr>
              <a:spLocks noTextEdit="1"/>
            </xdr:cNvSpPr>
          </xdr:nvSpPr>
          <xdr:spPr>
            <a:xfrm>
              <a:off x="15849600" y="38100"/>
              <a:ext cx="3124200" cy="693419"/>
            </a:xfrm>
            <a:prstGeom prst="rect">
              <a:avLst/>
            </a:prstGeom>
            <a:solidFill>
              <a:prstClr val="white"/>
            </a:solidFill>
            <a:ln w="1">
              <a:solidFill>
                <a:prstClr val="green"/>
              </a:solidFill>
            </a:ln>
          </xdr:spPr>
          <xdr:txBody>
            <a:bodyPr vertOverflow="clip" horzOverflow="clip"/>
            <a:lstStyle/>
            <a:p>
              <a:r>
                <a:rPr lang="en-P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11</xdr:col>
      <xdr:colOff>205740</xdr:colOff>
      <xdr:row>0</xdr:row>
      <xdr:rowOff>1</xdr:rowOff>
    </xdr:from>
    <xdr:to>
      <xdr:col>17</xdr:col>
      <xdr:colOff>30480</xdr:colOff>
      <xdr:row>0</xdr:row>
      <xdr:rowOff>693421</xdr:rowOff>
    </xdr:to>
    <mc:AlternateContent xmlns:mc="http://schemas.openxmlformats.org/markup-compatibility/2006" xmlns:sle15="http://schemas.microsoft.com/office/drawing/2012/slicer">
      <mc:Choice Requires="sle15">
        <xdr:graphicFrame macro="">
          <xdr:nvGraphicFramePr>
            <xdr:cNvPr id="3" name="Hour">
              <a:extLst>
                <a:ext uri="{FF2B5EF4-FFF2-40B4-BE49-F238E27FC236}">
                  <a16:creationId xmlns:a16="http://schemas.microsoft.com/office/drawing/2014/main" id="{6B486236-9DDE-1FA7-4869-22C262D79E8E}"/>
                </a:ext>
              </a:extLst>
            </xdr:cNvPr>
            <xdr:cNvGraphicFramePr/>
          </xdr:nvGraphicFramePr>
          <xdr:xfrm>
            <a:off x="0" y="0"/>
            <a:ext cx="0" cy="0"/>
          </xdr:xfrm>
          <a:graphic>
            <a:graphicData uri="http://schemas.microsoft.com/office/drawing/2010/slicer">
              <sle:slicer xmlns:sle="http://schemas.microsoft.com/office/drawing/2010/slicer" name="Hour"/>
            </a:graphicData>
          </a:graphic>
        </xdr:graphicFrame>
      </mc:Choice>
      <mc:Fallback xmlns="">
        <xdr:sp macro="" textlink="">
          <xdr:nvSpPr>
            <xdr:cNvPr id="0" name=""/>
            <xdr:cNvSpPr>
              <a:spLocks noTextEdit="1"/>
            </xdr:cNvSpPr>
          </xdr:nvSpPr>
          <xdr:spPr>
            <a:xfrm>
              <a:off x="10149840" y="1"/>
              <a:ext cx="5402580" cy="693420"/>
            </a:xfrm>
            <a:prstGeom prst="rect">
              <a:avLst/>
            </a:prstGeom>
            <a:solidFill>
              <a:prstClr val="white"/>
            </a:solidFill>
            <a:ln w="1">
              <a:solidFill>
                <a:prstClr val="green"/>
              </a:solidFill>
            </a:ln>
          </xdr:spPr>
          <xdr:txBody>
            <a:bodyPr vertOverflow="clip" horzOverflow="clip"/>
            <a:lstStyle/>
            <a:p>
              <a:r>
                <a:rPr lang="en-PK"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person displayName="Muhammad Zubair Malik" id="{31C6E86D-63DB-4129-9D90-E6BF24CA4712}" userId="S::zubair.malik@uchpower.com::9f410020-5fad-4f61-9db0-ea06b8d40963"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6" xr16:uid="{11FF603F-9742-459C-8D61-D9F58F040E08}" autoFormatId="16" applyNumberFormats="0" applyBorderFormats="0" applyFontFormats="0" applyPatternFormats="0" applyAlignmentFormats="0" applyWidthHeightFormats="0">
  <queryTableRefresh nextId="207">
    <queryTableFields count="111">
      <queryTableField id="1" name="Date Only" tableColumnId="1"/>
      <queryTableField id="2" name="Hour" tableColumnId="2"/>
      <queryTableField id="3" name="Time Stamp" tableColumnId="3"/>
      <queryTableField id="4" name="GT_Unit" tableColumnId="4"/>
      <queryTableField id="5" name="GT1A_Gen_MW" tableColumnId="5"/>
      <queryTableField id="6" name="FuelFlow_kg_s" tableColumnId="6"/>
      <queryTableField id="7" name="MMBTU_hr" tableColumnId="7"/>
      <queryTableField id="8" name="MeasuredOutput_MW" tableColumnId="8"/>
      <queryTableField id="9" name="GT1A_Fuel_Flow" tableColumnId="9"/>
      <queryTableField id="10" name="CorrectedOutput_MW" tableColumnId="10"/>
      <queryTableField id="11" name="MeasuredHeatRate" tableColumnId="11"/>
      <queryTableField id="12" name="CorrectedHeatRate" tableColumnId="12"/>
      <queryTableField id="119" name="GTHeatRate_BTU_kWh" tableColumnId="94"/>
      <queryTableField id="120" name="CorrectedHeatRate_BTU_kWh" tableColumnId="95"/>
      <queryTableField id="81" name="CorrectedExhaustTemp" tableColumnId="78"/>
      <queryTableField id="15" name="GT1A_Fuel_Temp" tableColumnId="15"/>
      <queryTableField id="82" name="CorrectedExhaustFlow" tableColumnId="79"/>
      <queryTableField id="83" name="CorrectedEfficiency" tableColumnId="80"/>
      <queryTableField id="13" name="Combined_OutputCF" tableColumnId="13"/>
      <queryTableField id="18" name="HC_Ratio" tableColumnId="18"/>
      <queryTableField id="14" name="Combined_HRCF" tableColumnId="14"/>
      <queryTableField id="84" name="Combined_ExhFlowCF" tableColumnId="81"/>
      <queryTableField id="85" name="MeasuredExhaustTemp" tableColumnId="82"/>
      <queryTableField id="86" name="MeasuredExhaustFlow" tableColumnId="83"/>
      <queryTableField id="16" name="GT1A_Comp_Inlet_Temp" tableColumnId="16"/>
      <queryTableField id="17" name="GT1A_Turb_Exh_Temp" tableColumnId="17"/>
      <queryTableField id="19" name="GT1A_Comp_Disch_Temp" tableColumnId="19"/>
      <queryTableField id="20" name="GT1A_Comp_Disch_Press" tableColumnId="20"/>
      <queryTableField id="95" name="Compressor_PR" tableColumnId="84"/>
      <queryTableField id="96" name="Compressor_Efficiency" tableColumnId="85"/>
      <queryTableField id="21" name="GT1A_IGV_Position" tableColumnId="21"/>
      <queryTableField id="22" name="Calculated_WB_Temp" tableColumnId="22"/>
      <queryTableField id="23" name="H2_Bldg_WB_Temp" tableColumnId="23"/>
      <queryTableField id="24" name="EvapCooler_Eff_Calc_WB" tableColumnId="24"/>
      <queryTableField id="25" name="EvapCooler_Eff_H2_Bldg_WB" tableColumnId="25"/>
      <queryTableField id="26" name="Cooler_Status" tableColumnId="26"/>
      <queryTableField id="99" name="GT1A_OFWW" tableColumnId="86"/>
      <queryTableField id="27" name="Ambient_Temp_DB" tableColumnId="27"/>
      <queryTableField id="28" name="Rel_Humidity" tableColumnId="28"/>
      <queryTableField id="29" name="Ambient_Press" tableColumnId="29"/>
      <queryTableField id="30" name="CIT_degC" tableColumnId="30"/>
      <queryTableField id="31" name="RH_pct" tableColumnId="31"/>
      <queryTableField id="104" name="RH_at_CIT" tableColumnId="89"/>
      <queryTableField id="32" name="ShaftSpeedRatio" tableColumnId="32"/>
      <queryTableField id="33" name="GT1A_Turbine_Speed" tableColumnId="33"/>
      <queryTableField id="34" name="FuelTemp_degC" tableColumnId="34"/>
      <queryTableField id="75" name="GT1A_Diff_Press" tableColumnId="75"/>
      <queryTableField id="35" name="InletDP_mmH2O" tableColumnId="35"/>
      <queryTableField id="36" name="DeltaExhDP_mmH2O" tableColumnId="36"/>
      <queryTableField id="37" name="ExhaustDP_mmH2O" tableColumnId="37"/>
      <queryTableField id="38" name="BaroPressure_mbara" tableColumnId="38"/>
      <queryTableField id="39" name="FuelLHV_kJkg" tableColumnId="39"/>
      <queryTableField id="40" name="HC_ratio" tableColumnId="40"/>
      <queryTableField id="41" name="LHV_Btu_lbm" tableColumnId="41"/>
      <queryTableField id="112" name="HHV_BTU_SCF" tableColumnId="92"/>
      <queryTableField id="42" name="CF1_ExhaustPressure_mmH2O" tableColumnId="42"/>
      <queryTableField id="43" name="CF2_OutputRatio" tableColumnId="43"/>
      <queryTableField id="44" name="CF3_HeatRateRatio" tableColumnId="44"/>
      <queryTableField id="45" name="CF4_ExhaustFlowRatio" tableColumnId="45"/>
      <queryTableField id="46" name="CF5_ExhaustTempDiff_degC" tableColumnId="46"/>
      <queryTableField id="47" name="CF6_OutputRatio" tableColumnId="47"/>
      <queryTableField id="48" name="CF7_HeatRateRatio" tableColumnId="48"/>
      <queryTableField id="49" name="CF8_ExhaustFlowRatio" tableColumnId="49"/>
      <queryTableField id="50" name="CF9_ExhaustTempDiff_degC" tableColumnId="50"/>
      <queryTableField id="51" name="CF10_OutputRatio" tableColumnId="51"/>
      <queryTableField id="52" name="CF11_HeatRateRatio" tableColumnId="52"/>
      <queryTableField id="53" name="CF12_ExhaustFlowRatio" tableColumnId="53"/>
      <queryTableField id="54" name="CF13_ExhaustTempDiff_degC" tableColumnId="54"/>
      <queryTableField id="55" name="CF14_OutputRatio" tableColumnId="55"/>
      <queryTableField id="56" name="CF15_HeatRateRatio" tableColumnId="56"/>
      <queryTableField id="57" name="CF16_OutputRatio" tableColumnId="57"/>
      <queryTableField id="58" name="CF17_HeatRateRatio" tableColumnId="58"/>
      <queryTableField id="59" name="CF18_ExhaustFlowRatio" tableColumnId="59"/>
      <queryTableField id="60" name="CF19_ExhaustTempDiff_degC" tableColumnId="60"/>
      <queryTableField id="61" name="CF20_OutputRatio" tableColumnId="61"/>
      <queryTableField id="62" name="CF21_HeatRateRatio" tableColumnId="62"/>
      <queryTableField id="63" name="CF22_ExhaustTempDiff_degC" tableColumnId="63"/>
      <queryTableField id="64" name="CF23_OutputRatio" tableColumnId="64"/>
      <queryTableField id="102" name="MeasuredHeatRate_BTU" tableColumnId="87"/>
      <queryTableField id="103" name="CorrectedHeatRate_BTU" tableColumnId="88"/>
      <queryTableField id="65" name="CF24_HeatRateRatio" tableColumnId="65"/>
      <queryTableField id="66" name="CF25_ExhaustTempDiff_degC" tableColumnId="66"/>
      <queryTableField id="67" name="CF26_OutputRatio" tableColumnId="67"/>
      <queryTableField id="68" name="CF27_HeatRateRatio" tableColumnId="68"/>
      <queryTableField id="69" name="CF28_ExhaustFlowRatio" tableColumnId="69"/>
      <queryTableField id="70" name="CF29_ExhaustTempDiff_degC" tableColumnId="70"/>
      <queryTableField id="71" name="CF30_OutputRatio" tableColumnId="71"/>
      <queryTableField id="72" name="CF31_HeatRateRatio" tableColumnId="72"/>
      <queryTableField id="73" name="CF32_ExhaustFlowRatio" tableColumnId="73"/>
      <queryTableField id="74" name="CF33_ExhaustTempDiff_degC" tableColumnId="74"/>
      <queryTableField id="79" name="Calc_CorrectedOutput_MW" tableColumnId="76"/>
      <queryTableField id="121" name="Calc_GTHeatRate_BTU_kWh" tableColumnId="96"/>
      <queryTableField id="122" name="Calc_CorrectedHeatRate_BTU_kWh" tableColumnId="97"/>
      <queryTableField id="189" name="MW_CIT" tableColumnId="77"/>
      <queryTableField id="190" name="MW_RH" tableColumnId="90"/>
      <queryTableField id="191" name="MW_SS" tableColumnId="91"/>
      <queryTableField id="192" name="MW_FuelTemp" tableColumnId="93"/>
      <queryTableField id="193" name="MW_InletDP" tableColumnId="98"/>
      <queryTableField id="194" name="MW_ExhPress" tableColumnId="99"/>
      <queryTableField id="195" name="MW_ExhDP" tableColumnId="100"/>
      <queryTableField id="196" name="MW_BaroPress" tableColumnId="101"/>
      <queryTableField id="197" name="MW_FuelComp" tableColumnId="102"/>
      <queryTableField id="198" name="HR_CIT" tableColumnId="103"/>
      <queryTableField id="199" name="HR_RH" tableColumnId="104"/>
      <queryTableField id="200" name="HR_SS" tableColumnId="105"/>
      <queryTableField id="201" name="HR_FuelTemp" tableColumnId="106"/>
      <queryTableField id="202" name="HR_InletDP" tableColumnId="107"/>
      <queryTableField id="203" name="HR_ExhPress" tableColumnId="108"/>
      <queryTableField id="204" name="HR_ExhDP" tableColumnId="109"/>
      <queryTableField id="205" name="HR_BaroPress" tableColumnId="110"/>
      <queryTableField id="206" name="HR_FuelComp" tableColumnId="1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3" connectionId="17" xr16:uid="{DD32478F-96C3-4293-BCDE-5B85A0E31D83}" autoFormatId="16" applyNumberFormats="0" applyBorderFormats="0" applyFontFormats="0" applyPatternFormats="0" applyAlignmentFormats="0" applyWidthHeightFormats="0">
  <queryTableRefresh nextId="203">
    <queryTableFields count="111">
      <queryTableField id="1" name="Date Only" tableColumnId="1"/>
      <queryTableField id="2" name="Hour" tableColumnId="2"/>
      <queryTableField id="3" name="Time Stamp" tableColumnId="3"/>
      <queryTableField id="4" name="GT_Unit" tableColumnId="4"/>
      <queryTableField id="5" name="GT1B_Gen_MW" tableColumnId="5"/>
      <queryTableField id="6" name="FuelFlow_kg_s" tableColumnId="6"/>
      <queryTableField id="7" name="MMBTU_hr" tableColumnId="7"/>
      <queryTableField id="8" name="MeasuredOutput_MW" tableColumnId="8"/>
      <queryTableField id="9" name="GT1B_Fuel_Flow" tableColumnId="9"/>
      <queryTableField id="10" name="CorrectedOutput_MW" tableColumnId="10"/>
      <queryTableField id="11" name="MeasuredHeatRate" tableColumnId="11"/>
      <queryTableField id="12" name="CorrectedHeatRate" tableColumnId="12"/>
      <queryTableField id="115" name="GTHeatRate_BTU_kWh" tableColumnId="93"/>
      <queryTableField id="116" name="CorrectedHeatRate_BTU_kWh" tableColumnId="94"/>
      <queryTableField id="78" name="CorrectedExhaustTemp" tableColumnId="78"/>
      <queryTableField id="16" name="GT1B_Fuel_Temp" tableColumnId="16"/>
      <queryTableField id="79" name="CorrectedExhaustFlow" tableColumnId="79"/>
      <queryTableField id="80" name="CorrectedEfficiency" tableColumnId="80"/>
      <queryTableField id="13" name="Combined_OutputCF" tableColumnId="13"/>
      <queryTableField id="19" name="HC_Ratio" tableColumnId="19"/>
      <queryTableField id="14" name="Combined_HRCF" tableColumnId="14"/>
      <queryTableField id="81" name="Combined_ExhFlowCF" tableColumnId="81"/>
      <queryTableField id="82" name="MeasuredExhaustTemp" tableColumnId="82"/>
      <queryTableField id="83" name="MeasuredExhaustFlow" tableColumnId="83"/>
      <queryTableField id="15" name="GT1B_Comp_Inlet_Temp" tableColumnId="15"/>
      <queryTableField id="17" name="GT1B_Turb_Exh_Temp" tableColumnId="17"/>
      <queryTableField id="18" name="GT1B_Comp_Disch_Temp" tableColumnId="18"/>
      <queryTableField id="20" name="GT1B_Comp_Disch_Press" tableColumnId="20"/>
      <queryTableField id="92" name="Compressor_PR" tableColumnId="84"/>
      <queryTableField id="93" name="Compressor_Efficiency" tableColumnId="85"/>
      <queryTableField id="21" name="GT1B_IGV_Position" tableColumnId="21"/>
      <queryTableField id="22" name="Calculated_WB_Temp" tableColumnId="22"/>
      <queryTableField id="23" name="H2_Bldg_WB_Temp" tableColumnId="23"/>
      <queryTableField id="24" name="EvapCooler_Eff_Calc_WB" tableColumnId="24"/>
      <queryTableField id="25" name="EvapCooler_Eff_H2_Bldg_WB" tableColumnId="25"/>
      <queryTableField id="26" name="Cooler_Status" tableColumnId="26"/>
      <queryTableField id="96" name="GT1B_OFWW" tableColumnId="86"/>
      <queryTableField id="27" name="Ambient_Temp_DB" tableColumnId="27"/>
      <queryTableField id="28" name="Rel_Humidity" tableColumnId="28"/>
      <queryTableField id="29" name="Ambient_Press" tableColumnId="29"/>
      <queryTableField id="30" name="CIT_degC" tableColumnId="30"/>
      <queryTableField id="31" name="RH_pct" tableColumnId="31"/>
      <queryTableField id="101" name="RH_at_CIT" tableColumnId="89"/>
      <queryTableField id="32" name="ShaftSpeedRatio" tableColumnId="32"/>
      <queryTableField id="33" name="GT1B_Turbine_Speed" tableColumnId="33"/>
      <queryTableField id="34" name="FuelTemp_degC" tableColumnId="34"/>
      <queryTableField id="35" name="GT1B_Diff_Press" tableColumnId="35"/>
      <queryTableField id="36" name="InletDP_mmH2O" tableColumnId="36"/>
      <queryTableField id="37" name="DeltaExhDP_mmH2O" tableColumnId="37"/>
      <queryTableField id="38" name="ExhaustDP_mmH2O" tableColumnId="38"/>
      <queryTableField id="39" name="BaroPressure_mbara" tableColumnId="39"/>
      <queryTableField id="40" name="FuelLHV_kJkg" tableColumnId="40"/>
      <queryTableField id="41" name="HC_ratio" tableColumnId="41"/>
      <queryTableField id="42" name="LHV_Btu_lbm" tableColumnId="42"/>
      <queryTableField id="109" name="HHV_BTU_SCF" tableColumnId="92"/>
      <queryTableField id="43" name="CF1_ExhaustPressure_mmH2O" tableColumnId="43"/>
      <queryTableField id="44" name="CF2_OutputRatio" tableColumnId="44"/>
      <queryTableField id="45" name="CF3_HeatRateRatio" tableColumnId="45"/>
      <queryTableField id="46" name="CF4_ExhaustFlowRatio" tableColumnId="46"/>
      <queryTableField id="47" name="CF5_ExhaustTempDiff_degC" tableColumnId="47"/>
      <queryTableField id="48" name="CF6_OutputRatio" tableColumnId="48"/>
      <queryTableField id="49" name="CF7_HeatRateRatio" tableColumnId="49"/>
      <queryTableField id="50" name="CF8_ExhaustFlowRatio" tableColumnId="50"/>
      <queryTableField id="51" name="CF9_ExhaustTempDiff_degC" tableColumnId="51"/>
      <queryTableField id="52" name="CF10_OutputRatio" tableColumnId="52"/>
      <queryTableField id="53" name="CF11_HeatRateRatio" tableColumnId="53"/>
      <queryTableField id="54" name="CF12_ExhaustFlowRatio" tableColumnId="54"/>
      <queryTableField id="55" name="CF13_ExhaustTempDiff_degC" tableColumnId="55"/>
      <queryTableField id="56" name="CF14_OutputRatio" tableColumnId="56"/>
      <queryTableField id="57" name="CF15_HeatRateRatio" tableColumnId="57"/>
      <queryTableField id="58" name="CF16_OutputRatio" tableColumnId="58"/>
      <queryTableField id="59" name="CF17_HeatRateRatio" tableColumnId="59"/>
      <queryTableField id="60" name="CF18_ExhaustFlowRatio" tableColumnId="60"/>
      <queryTableField id="61" name="CF19_ExhaustTempDiff_degC" tableColumnId="61"/>
      <queryTableField id="62" name="CF20_OutputRatio" tableColumnId="62"/>
      <queryTableField id="63" name="CF21_HeatRateRatio" tableColumnId="63"/>
      <queryTableField id="64" name="CF22_ExhaustTempDiff_degC" tableColumnId="64"/>
      <queryTableField id="65" name="CF23_OutputRatio" tableColumnId="65"/>
      <queryTableField id="99" name="MeasuredHeatRate_BTU" tableColumnId="87"/>
      <queryTableField id="100" name="CorrectedHeatRate_BTU" tableColumnId="88"/>
      <queryTableField id="66" name="CF24_HeatRateRatio" tableColumnId="66"/>
      <queryTableField id="67" name="CF25_ExhaustTempDiff_degC" tableColumnId="67"/>
      <queryTableField id="68" name="CF26_OutputRatio" tableColumnId="68"/>
      <queryTableField id="69" name="CF27_HeatRateRatio" tableColumnId="69"/>
      <queryTableField id="70" name="CF28_ExhaustFlowRatio" tableColumnId="70"/>
      <queryTableField id="71" name="CF29_ExhaustTempDiff_degC" tableColumnId="71"/>
      <queryTableField id="72" name="CF30_OutputRatio" tableColumnId="72"/>
      <queryTableField id="73" name="CF31_HeatRateRatio" tableColumnId="73"/>
      <queryTableField id="74" name="CF32_ExhaustFlowRatio" tableColumnId="74"/>
      <queryTableField id="75" name="CF33_ExhaustTempDiff_degC" tableColumnId="75"/>
      <queryTableField id="76" name="Calc_CorrectedOutput_MW" tableColumnId="76"/>
      <queryTableField id="117" name="Calc_GTHeatRate_BTU_kWh" tableColumnId="95"/>
      <queryTableField id="118" name="Calc_CorrectedHeatRate_BTU_kWh" tableColumnId="96"/>
      <queryTableField id="185" name="MW_CIT" tableColumnId="77"/>
      <queryTableField id="186" name="MW_RH" tableColumnId="90"/>
      <queryTableField id="187" name="MW_SS" tableColumnId="91"/>
      <queryTableField id="188" name="MW_FuelTemp" tableColumnId="97"/>
      <queryTableField id="189" name="MW_InletDP" tableColumnId="98"/>
      <queryTableField id="190" name="MW_ExhPress" tableColumnId="99"/>
      <queryTableField id="191" name="MW_ExhDP" tableColumnId="100"/>
      <queryTableField id="192" name="MW_BaroPress" tableColumnId="101"/>
      <queryTableField id="193" name="MW_FuelComp" tableColumnId="102"/>
      <queryTableField id="194" name="HR_CIT" tableColumnId="103"/>
      <queryTableField id="195" name="HR_RH" tableColumnId="104"/>
      <queryTableField id="196" name="HR_SS" tableColumnId="105"/>
      <queryTableField id="197" name="HR_FuelTemp" tableColumnId="106"/>
      <queryTableField id="198" name="HR_InletDP" tableColumnId="107"/>
      <queryTableField id="199" name="HR_ExhPress" tableColumnId="108"/>
      <queryTableField id="200" name="HR_ExhDP" tableColumnId="109"/>
      <queryTableField id="201" name="HR_BaroPress" tableColumnId="110"/>
      <queryTableField id="202" name="HR_FuelComp" tableColumnId="11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4" connectionId="18" xr16:uid="{296FC252-153A-4EB6-9085-4E90284BC912}" autoFormatId="16" applyNumberFormats="0" applyBorderFormats="0" applyFontFormats="0" applyPatternFormats="0" applyAlignmentFormats="0" applyWidthHeightFormats="0">
  <queryTableRefresh nextId="203">
    <queryTableFields count="111">
      <queryTableField id="1" name="Date Only" tableColumnId="1"/>
      <queryTableField id="2" name="Hour" tableColumnId="2"/>
      <queryTableField id="3" name="Time Stamp" tableColumnId="3"/>
      <queryTableField id="4" name="GT_Unit" tableColumnId="4"/>
      <queryTableField id="5" name="GT1C_Gen_MW" tableColumnId="5"/>
      <queryTableField id="6" name="FuelFlow_kg_s" tableColumnId="6"/>
      <queryTableField id="7" name="MMBTU_hr" tableColumnId="7"/>
      <queryTableField id="8" name="MeasuredOutput_MW" tableColumnId="8"/>
      <queryTableField id="9" name="GT1C_Fuel_Flow" tableColumnId="9"/>
      <queryTableField id="10" name="CorrectedOutput_MW" tableColumnId="10"/>
      <queryTableField id="11" name="MeasuredHeatRate" tableColumnId="11"/>
      <queryTableField id="12" name="CorrectedHeatRate" tableColumnId="12"/>
      <queryTableField id="115" name="GTHeatRate_BTU_kWh" tableColumnId="93"/>
      <queryTableField id="116" name="CorrectedHeatRate_BTU_kWh" tableColumnId="94"/>
      <queryTableField id="78" name="CorrectedExhaustTemp" tableColumnId="78"/>
      <queryTableField id="16" name="GT1C_Fuel_Temp" tableColumnId="16"/>
      <queryTableField id="79" name="CorrectedExhaustFlow" tableColumnId="79"/>
      <queryTableField id="80" name="CorrectedEfficiency" tableColumnId="80"/>
      <queryTableField id="13" name="Combined_OutputCF" tableColumnId="13"/>
      <queryTableField id="19" name="HC_Ratio" tableColumnId="19"/>
      <queryTableField id="14" name="Combined_HRCF" tableColumnId="14"/>
      <queryTableField id="81" name="Combined_ExhFlowCF" tableColumnId="81"/>
      <queryTableField id="82" name="MeasuredExhaustTemp" tableColumnId="82"/>
      <queryTableField id="83" name="MeasuredExhaustFlow" tableColumnId="83"/>
      <queryTableField id="15" name="GT1C_Comp_Inlet_Temp" tableColumnId="15"/>
      <queryTableField id="17" name="GT1C_Turb_Exh_Temp" tableColumnId="17"/>
      <queryTableField id="18" name="GT1C_Comp_Disch_Temp" tableColumnId="18"/>
      <queryTableField id="20" name="GT1C_Comp_Disch_Press" tableColumnId="20"/>
      <queryTableField id="92" name="Compressor_PR" tableColumnId="84"/>
      <queryTableField id="93" name="Compressor_Efficiency" tableColumnId="85"/>
      <queryTableField id="21" name="GT1C_IGV_Position" tableColumnId="21"/>
      <queryTableField id="22" name="Calculated_WB_Temp" tableColumnId="22"/>
      <queryTableField id="23" name="H2_Bldg_WB_Temp" tableColumnId="23"/>
      <queryTableField id="24" name="EvapCooler_Eff_Calc_WB" tableColumnId="24"/>
      <queryTableField id="25" name="EvapCooler_Eff_H2_Bldg_WB" tableColumnId="25"/>
      <queryTableField id="26" name="Cooler_Status" tableColumnId="26"/>
      <queryTableField id="96" name="GT1C_OFWW" tableColumnId="86"/>
      <queryTableField id="27" name="Ambient_Temp_DB" tableColumnId="27"/>
      <queryTableField id="28" name="Rel_Humidity" tableColumnId="28"/>
      <queryTableField id="29" name="Ambient_Press" tableColumnId="29"/>
      <queryTableField id="30" name="CIT_degC" tableColumnId="30"/>
      <queryTableField id="31" name="RH_pct" tableColumnId="31"/>
      <queryTableField id="101" name="RH_at_CIT" tableColumnId="89"/>
      <queryTableField id="32" name="ShaftSpeedRatio" tableColumnId="32"/>
      <queryTableField id="33" name="GT1C_Turbine_Speed" tableColumnId="33"/>
      <queryTableField id="34" name="FuelTemp_degC" tableColumnId="34"/>
      <queryTableField id="35" name="GT1C_Diff_Press" tableColumnId="35"/>
      <queryTableField id="36" name="InletDP_mmH2O" tableColumnId="36"/>
      <queryTableField id="37" name="DeltaExhDP_mmH2O" tableColumnId="37"/>
      <queryTableField id="38" name="ExhaustDP_mmH2O" tableColumnId="38"/>
      <queryTableField id="39" name="BaroPressure_mbara" tableColumnId="39"/>
      <queryTableField id="40" name="FuelLHV_kJkg" tableColumnId="40"/>
      <queryTableField id="41" name="HC_ratio" tableColumnId="41"/>
      <queryTableField id="42" name="LHV_Btu_lbm" tableColumnId="42"/>
      <queryTableField id="109" name="HHV_BTU_SCF" tableColumnId="92"/>
      <queryTableField id="43" name="CF1_ExhaustPressure_mmH2O" tableColumnId="43"/>
      <queryTableField id="44" name="CF2_OutputRatio" tableColumnId="44"/>
      <queryTableField id="45" name="CF3_HeatRateRatio" tableColumnId="45"/>
      <queryTableField id="46" name="CF4_ExhaustFlowRatio" tableColumnId="46"/>
      <queryTableField id="47" name="CF5_ExhaustTempDiff_degC" tableColumnId="47"/>
      <queryTableField id="48" name="CF6_OutputRatio" tableColumnId="48"/>
      <queryTableField id="49" name="CF7_HeatRateRatio" tableColumnId="49"/>
      <queryTableField id="50" name="CF8_ExhaustFlowRatio" tableColumnId="50"/>
      <queryTableField id="51" name="CF9_ExhaustTempDiff_degC" tableColumnId="51"/>
      <queryTableField id="52" name="CF10_OutputRatio" tableColumnId="52"/>
      <queryTableField id="53" name="CF11_HeatRateRatio" tableColumnId="53"/>
      <queryTableField id="54" name="CF12_ExhaustFlowRatio" tableColumnId="54"/>
      <queryTableField id="55" name="CF13_ExhaustTempDiff_degC" tableColumnId="55"/>
      <queryTableField id="56" name="CF14_OutputRatio" tableColumnId="56"/>
      <queryTableField id="57" name="CF15_HeatRateRatio" tableColumnId="57"/>
      <queryTableField id="58" name="CF16_OutputRatio" tableColumnId="58"/>
      <queryTableField id="59" name="CF17_HeatRateRatio" tableColumnId="59"/>
      <queryTableField id="60" name="CF18_ExhaustFlowRatio" tableColumnId="60"/>
      <queryTableField id="61" name="CF19_ExhaustTempDiff_degC" tableColumnId="61"/>
      <queryTableField id="62" name="CF20_OutputRatio" tableColumnId="62"/>
      <queryTableField id="63" name="CF21_HeatRateRatio" tableColumnId="63"/>
      <queryTableField id="64" name="CF22_ExhaustTempDiff_degC" tableColumnId="64"/>
      <queryTableField id="65" name="CF23_OutputRatio" tableColumnId="65"/>
      <queryTableField id="99" name="MeasuredHeatRate_BTU" tableColumnId="87"/>
      <queryTableField id="100" name="CorrectedHeatRate_BTU" tableColumnId="88"/>
      <queryTableField id="66" name="CF24_HeatRateRatio" tableColumnId="66"/>
      <queryTableField id="67" name="CF25_ExhaustTempDiff_degC" tableColumnId="67"/>
      <queryTableField id="68" name="CF26_OutputRatio" tableColumnId="68"/>
      <queryTableField id="69" name="CF27_HeatRateRatio" tableColumnId="69"/>
      <queryTableField id="70" name="CF28_ExhaustFlowRatio" tableColumnId="70"/>
      <queryTableField id="71" name="CF29_ExhaustTempDiff_degC" tableColumnId="71"/>
      <queryTableField id="72" name="CF30_OutputRatio" tableColumnId="72"/>
      <queryTableField id="73" name="CF31_HeatRateRatio" tableColumnId="73"/>
      <queryTableField id="74" name="CF32_ExhaustFlowRatio" tableColumnId="74"/>
      <queryTableField id="75" name="CF33_ExhaustTempDiff_degC" tableColumnId="75"/>
      <queryTableField id="76" name="Calc_CorrectedOutput_MW" tableColumnId="76"/>
      <queryTableField id="117" name="Calc_GTHeatRate_BTU_kWh" tableColumnId="95"/>
      <queryTableField id="118" name="Calc_CorrectedHeatRate_BTU_kWh" tableColumnId="96"/>
      <queryTableField id="185" name="MW_CIT" tableColumnId="77"/>
      <queryTableField id="186" name="MW_RH" tableColumnId="90"/>
      <queryTableField id="187" name="MW_SS" tableColumnId="91"/>
      <queryTableField id="188" name="MW_FuelTemp" tableColumnId="97"/>
      <queryTableField id="189" name="MW_InletDP" tableColumnId="98"/>
      <queryTableField id="190" name="MW_ExhPress" tableColumnId="99"/>
      <queryTableField id="191" name="MW_ExhDP" tableColumnId="100"/>
      <queryTableField id="192" name="MW_BaroPress" tableColumnId="101"/>
      <queryTableField id="193" name="MW_FuelComp" tableColumnId="102"/>
      <queryTableField id="194" name="HR_CIT" tableColumnId="103"/>
      <queryTableField id="195" name="HR_RH" tableColumnId="104"/>
      <queryTableField id="196" name="HR_SS" tableColumnId="105"/>
      <queryTableField id="197" name="HR_FuelTemp" tableColumnId="106"/>
      <queryTableField id="198" name="HR_InletDP" tableColumnId="107"/>
      <queryTableField id="199" name="HR_ExhPress" tableColumnId="108"/>
      <queryTableField id="200" name="HR_ExhDP" tableColumnId="109"/>
      <queryTableField id="201" name="HR_BaroPress" tableColumnId="110"/>
      <queryTableField id="202" name="HR_FuelComp" tableColumnId="11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5" adjustColumnWidth="0" connectionId="15" xr16:uid="{705016CB-5E56-4C8B-A32B-06F51C038644}" autoFormatId="16" applyNumberFormats="0" applyBorderFormats="0" applyFontFormats="0" applyPatternFormats="0" applyAlignmentFormats="0" applyWidthHeightFormats="0">
  <queryTableRefresh nextId="54">
    <queryTableFields count="44">
      <queryTableField id="1" name="Month" tableColumnId="1"/>
      <queryTableField id="2" name="Time Stamp" tableColumnId="2"/>
      <queryTableField id="3" name="Date" tableColumnId="3"/>
      <queryTableField id="4" name="Hour" tableColumnId="4"/>
      <queryTableField id="5" name="Ambient Temp DB (°C)" tableColumnId="5"/>
      <queryTableField id="6" name="Rel Humidity (%)" tableColumnId="6"/>
      <queryTableField id="7" name="Ambient Press (mbar)" tableColumnId="7"/>
      <queryTableField id="8" name="Calculated WB Temp (°C)" tableColumnId="8"/>
      <queryTableField id="9" name="Gas Turbine" tableColumnId="9"/>
      <queryTableField id="10" name="Comp Inlet Temp (°C)" tableColumnId="10"/>
      <queryTableField id="27" name="RH at Comp Inlet (%)" tableColumnId="25"/>
      <queryTableField id="11" name="Evap Cooler Eff Calc WB" tableColumnId="11"/>
      <queryTableField id="12" name="Cooler Status" tableColumnId="12"/>
      <queryTableField id="13" name="Turb Exh Temp (°C)" tableColumnId="13"/>
      <queryTableField id="14" name="MMBTU/hr" tableColumnId="14"/>
      <queryTableField id="15" name="Gen MW" tableColumnId="15"/>
      <queryTableField id="28" name="Heat Rate (BTU/kWh)" tableColumnId="26"/>
      <queryTableField id="19" name="GT Efficiency" tableColumnId="19"/>
      <queryTableField id="17" name="Corrected Output (MW)" tableColumnId="17"/>
      <queryTableField id="29" name="Corrected Heat Rate (BTU/kWh)" tableColumnId="27"/>
      <queryTableField id="33" name="Corrected GT Efficiency" tableColumnId="16"/>
      <queryTableField id="22" name="Compressor PR" tableColumnId="22"/>
      <queryTableField id="23" name="Compressor Efficiency" tableColumnId="23"/>
      <queryTableField id="20" name="Corrected Exhaust Temp (°C)" tableColumnId="20"/>
      <queryTableField id="21" name="Corrected Exhaust Flow (kg/s)" tableColumnId="21"/>
      <queryTableField id="26" name="OFWW" tableColumnId="24"/>
      <queryTableField id="36" name="MW Impact CIT" tableColumnId="18"/>
      <queryTableField id="37" name="MW Impact RH" tableColumnId="28"/>
      <queryTableField id="38" name="MW Impact SS" tableColumnId="29"/>
      <queryTableField id="39" name="MW Impact FuelTemp" tableColumnId="30"/>
      <queryTableField id="40" name="MW Impact InletDP" tableColumnId="31"/>
      <queryTableField id="41" name="MW Impact ExhPress" tableColumnId="32"/>
      <queryTableField id="42" name="MW Impact ExhDP" tableColumnId="33"/>
      <queryTableField id="43" name="MW Impact BaroPress" tableColumnId="34"/>
      <queryTableField id="44" name="MW Impact FuelComp" tableColumnId="35"/>
      <queryTableField id="45" name="HR Impact CIT (BTU/kWh)" tableColumnId="36"/>
      <queryTableField id="46" name="HR Impact RH (BTU/kWh)" tableColumnId="37"/>
      <queryTableField id="47" name="HR Impact SS (BTU/kWh)" tableColumnId="38"/>
      <queryTableField id="48" name="HR Impact FuelTemp (BTU/kWh)" tableColumnId="39"/>
      <queryTableField id="49" name="HR Impact InletDP (BTU/kWh)" tableColumnId="40"/>
      <queryTableField id="50" name="HR Impact ExhPress (BTU/kWh)" tableColumnId="41"/>
      <queryTableField id="51" name="HR Impact ExhDP (BTU/kWh)" tableColumnId="42"/>
      <queryTableField id="52" name="HR Impact BaroPress (BTU/kWh)" tableColumnId="43"/>
      <queryTableField id="53" name="HR Impact FuelComp (BTU/kWh)" tableColumnId="4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 xr16:uid="{5DFA4C35-61F1-4903-AF24-0ED3FF681AFD}" autoFormatId="16" applyNumberFormats="0" applyBorderFormats="0" applyFontFormats="0" applyPatternFormats="0" applyAlignmentFormats="0" applyWidthHeightFormats="0">
  <queryTableRefresh nextId="665" unboundColumnsRight="7">
    <queryTableFields count="151">
      <queryTableField id="315" name="Column1" tableColumnId="11"/>
      <queryTableField id="1" name="Date Only" tableColumnId="1"/>
      <queryTableField id="2" name="Hour" tableColumnId="2"/>
      <queryTableField id="3" name="Time Stamp" tableColumnId="3"/>
      <queryTableField id="155" name="Ambient_Temp_DB" tableColumnId="155"/>
      <queryTableField id="156" name="Rel_Humidity" tableColumnId="156"/>
      <queryTableField id="157" name="Ambient_Press" tableColumnId="157"/>
      <queryTableField id="158" name="CT_Area_WB_Temp" tableColumnId="158"/>
      <queryTableField id="159" name="H2_Bldg_WB_Temp" tableColumnId="159"/>
      <queryTableField id="160" name="GT1A_Comp_Inlet_Temp" tableColumnId="160"/>
      <queryTableField id="161" name="GT1B_Comp_Inlet_Temp" tableColumnId="161"/>
      <queryTableField id="162" name="GT1C_Comp_Inlet_Temp" tableColumnId="162"/>
      <queryTableField id="528" name="GT1A_Turbine_Speed" tableColumnId="78"/>
      <queryTableField id="529" name="GT1B_Turbine_Speed" tableColumnId="79"/>
      <queryTableField id="530" name="GT1C_Turbine_Speed" tableColumnId="80"/>
      <queryTableField id="531" name="ST_HP_Turbine_Speed" tableColumnId="81"/>
      <queryTableField id="532" name="Fuel_Gas_A_MCF_Hr" tableColumnId="82"/>
      <queryTableField id="533" name="Fuel_Gas_B_MCF_Hr" tableColumnId="83"/>
      <queryTableField id="534" name="Fuel_Gas_BTU" tableColumnId="84"/>
      <queryTableField id="535" name="Plant_Net_Load" tableColumnId="85"/>
      <queryTableField id="171" name="GT1A_Gen_MW" tableColumnId="171"/>
      <queryTableField id="172" name="GT1B_Gen_MW" tableColumnId="172"/>
      <queryTableField id="173" name="GT1C_Gen_MW" tableColumnId="173"/>
      <queryTableField id="536" name="ST_Gen_MW" tableColumnId="86"/>
      <queryTableField id="537" name="GT1A_Gen_Field_Amps" tableColumnId="87"/>
      <queryTableField id="538" name="GT1B_Gen_Field_Amps" tableColumnId="88"/>
      <queryTableField id="539" name="GT1C_Gen_Field_Amps" tableColumnId="89"/>
      <queryTableField id="540" name="GT1A_Gen_Field_Volts" tableColumnId="90"/>
      <queryTableField id="541" name="GT1B_Gen_Field_Volts" tableColumnId="91"/>
      <queryTableField id="542" name="GT1C_Gen_Field_Volts" tableColumnId="92"/>
      <queryTableField id="543" name="GT1A_Gen_PF" tableColumnId="93"/>
      <queryTableField id="544" name="GT1B_Gen_PF" tableColumnId="94"/>
      <queryTableField id="545" name="GT1C_Gen_PF" tableColumnId="95"/>
      <queryTableField id="546" name="ST_1st_Stage_Press" tableColumnId="96"/>
      <queryTableField id="185" name="GT1A_IGV_Position" tableColumnId="185"/>
      <queryTableField id="186" name="GT1B_IGV_Position" tableColumnId="186"/>
      <queryTableField id="187" name="GT1C_IGV_Position" tableColumnId="187"/>
      <queryTableField id="188" name="GT1A_Comp_Disch_Temp" tableColumnId="188"/>
      <queryTableField id="189" name="GT1B_Comp_Disch_Temp" tableColumnId="189"/>
      <queryTableField id="190" name="GT1C_Comp_Disch_Temp" tableColumnId="190"/>
      <queryTableField id="191" name="GT1A_Comp_Disch_Press" tableColumnId="191"/>
      <queryTableField id="192" name="GT1B_Comp_Disch_Press" tableColumnId="192"/>
      <queryTableField id="193" name="GT1C_Comp_Disch_Press" tableColumnId="193"/>
      <queryTableField id="194" name="GT1A_Turb_Exh_Temp" tableColumnId="194"/>
      <queryTableField id="195" name="GT1A_Fuel_Flow" tableColumnId="195"/>
      <queryTableField id="196" name="GT1A_Fuel_Temp" tableColumnId="196"/>
      <queryTableField id="197" name="GT1B_Turb_Exh_Temp" tableColumnId="197"/>
      <queryTableField id="198" name="GT1B_Fuel_Flow" tableColumnId="198"/>
      <queryTableField id="199" name="GT1B_Fuel_Temp" tableColumnId="199"/>
      <queryTableField id="200" name="GT1C_Turb_Exh_Temp" tableColumnId="200"/>
      <queryTableField id="201" name="GT1C_Fuel_Flow" tableColumnId="201"/>
      <queryTableField id="202" name="GT1C_Fuel_Temp" tableColumnId="202"/>
      <queryTableField id="547" name="HRSG1A_HP_Stm_Press" tableColumnId="97"/>
      <queryTableField id="548" name="HRSG1B_HP_Stm_Press" tableColumnId="98"/>
      <queryTableField id="549" name="HRSG1C_HP_Stm_Press" tableColumnId="99"/>
      <queryTableField id="550" name="HRSG1A_IP_Stm_Press" tableColumnId="100"/>
      <queryTableField id="551" name="HRSG1B_IP_Stm_Press" tableColumnId="101"/>
      <queryTableField id="552" name="HRSG1C_IP_Stm_Press" tableColumnId="102"/>
      <queryTableField id="553" name="HRSG1A_HP_Stm_Temp" tableColumnId="103"/>
      <queryTableField id="554" name="HRSG1B_HP_Stm_Temp" tableColumnId="104"/>
      <queryTableField id="555" name="HRSG1C_HP_Stm_Temp" tableColumnId="105"/>
      <queryTableField id="556" name="HRSG1A_IP_Stm_Temp" tableColumnId="106"/>
      <queryTableField id="557" name="HRSG1B_IP_Stm_Temp" tableColumnId="107"/>
      <queryTableField id="558" name="HRSG1C_IP_Stm_Temp" tableColumnId="108"/>
      <queryTableField id="215" name="HRSG1A_HP_Stm_Flow" tableColumnId="215"/>
      <queryTableField id="216" name="HRSG1B_HP_Stm_Flow" tableColumnId="216"/>
      <queryTableField id="217" name="HRSG1C_HP_Stm_Flow" tableColumnId="217"/>
      <queryTableField id="218" name="HRSG1A_IP_Stm_Flow" tableColumnId="218"/>
      <queryTableField id="219" name="HRSG1B_IP_Stm_Flow" tableColumnId="219"/>
      <queryTableField id="220" name="HRSG1C_IP_Stm_Flow" tableColumnId="220"/>
      <queryTableField id="559" name="ST_Main_Inlet_Stm_Temp" tableColumnId="109"/>
      <queryTableField id="560" name="ST_HP_Inlet_Press" tableColumnId="110"/>
      <queryTableField id="561" name="ST_LP_Adm_Stm_Temp" tableColumnId="111"/>
      <queryTableField id="562" name="ST_IP_Adm_Press" tableColumnId="112"/>
      <queryTableField id="563" name="ST_Exh_Stm_Temp" tableColumnId="113"/>
      <queryTableField id="564" name="ST_Exh_Vacuum" tableColumnId="114"/>
      <queryTableField id="227" name="Condenser_Back_Press" tableColumnId="227"/>
      <queryTableField id="565" name="HRSG1A_HP_FW_Temp" tableColumnId="115"/>
      <queryTableField id="566" name="HRSG1B_HP_FW_Temp" tableColumnId="116"/>
      <queryTableField id="567" name="HRSG1C_HP_FW_Temp" tableColumnId="117"/>
      <queryTableField id="231" name="HRSG1A_HP_FW_Flow" tableColumnId="231"/>
      <queryTableField id="232" name="HRSG1B_HP_FW_Flow" tableColumnId="232"/>
      <queryTableField id="233" name="HRSG1C_HP_FW_Flow" tableColumnId="233"/>
      <queryTableField id="568" name="HRSG1A_IP_FW_Temp" tableColumnId="118"/>
      <queryTableField id="569" name="HRSG1B_IP_FW_Temp" tableColumnId="119"/>
      <queryTableField id="570" name="HRSG1C_IP_FW_Temp" tableColumnId="120"/>
      <queryTableField id="237" name="HRSG1A_IP_FW_Flow" tableColumnId="237"/>
      <queryTableField id="238" name="HRSG1B_IP_FW_Flow" tableColumnId="238"/>
      <queryTableField id="239" name="HRSG1C_IP_FW_Flow" tableColumnId="239"/>
      <queryTableField id="571" name="HRSG1A_LP_FW_Temp" tableColumnId="121"/>
      <queryTableField id="572" name="HRSG1B_LP_FW_Temp" tableColumnId="122"/>
      <queryTableField id="573" name="HRSG1C_LP_FW_Temp" tableColumnId="123"/>
      <queryTableField id="243" name="HRSG1A_LP_FW_Flow" tableColumnId="243"/>
      <queryTableField id="244" name="HRSG1B_LP_FW_Flow" tableColumnId="244"/>
      <queryTableField id="245" name="HRSG1C_LP_FW_Flow" tableColumnId="245"/>
      <queryTableField id="574" name="HRSG1A_HP_Drum_Temp" tableColumnId="124"/>
      <queryTableField id="575" name="HRSG1B_HP_Drum_Temp" tableColumnId="125"/>
      <queryTableField id="576" name="HRSG1C_HP_Drum_Temp" tableColumnId="126"/>
      <queryTableField id="577" name="HRSG1A_IP_Drum_Temp" tableColumnId="127"/>
      <queryTableField id="578" name="HRSG1B_IP_Drum_Temp" tableColumnId="128"/>
      <queryTableField id="579" name="HRSG1C_IP_Drum_Temp" tableColumnId="129"/>
      <queryTableField id="580" name="BFP_Disch_HP_Press" tableColumnId="130"/>
      <queryTableField id="581" name="BFP_Disch_IP_Press" tableColumnId="131"/>
      <queryTableField id="582" name="HRSG1A_LP_Stm_Press" tableColumnId="132"/>
      <queryTableField id="583" name="HRSG1B_LP_Stm_Press" tableColumnId="133"/>
      <queryTableField id="584" name="HRSG1C_LP_Stm_Press" tableColumnId="134"/>
      <queryTableField id="585" name="HRSG1A_LP_Stm_Temp" tableColumnId="135"/>
      <queryTableField id="586" name="HRSG1B_LP_Stm_Temp" tableColumnId="136"/>
      <queryTableField id="587" name="HRSG1C_LP_Stm_Temp" tableColumnId="137"/>
      <queryTableField id="260" name="HRSG1A_HP_Drum_Press" tableColumnId="260"/>
      <queryTableField id="261" name="HRSG1B_HP_Drum_Press" tableColumnId="261"/>
      <queryTableField id="262" name="HRSG1C_HP_Drum_Press" tableColumnId="262"/>
      <queryTableField id="263" name="HRSG1A_IP_Drum_Press" tableColumnId="263"/>
      <queryTableField id="264" name="HRSG1B_IP_Drum_Press" tableColumnId="264"/>
      <queryTableField id="265" name="HRSG1C_IP_Drum_Press" tableColumnId="265"/>
      <queryTableField id="266" name="HRSG1A_LP_Drum_Press" tableColumnId="266"/>
      <queryTableField id="267" name="HRSG1B_LP_Drum_Press" tableColumnId="267"/>
      <queryTableField id="268" name="HRSG1C_LP_Drum_Press" tableColumnId="268"/>
      <queryTableField id="588" name="HRSG1A_Stack_Temp" tableColumnId="138"/>
      <queryTableField id="589" name="HRSG1B_Stack_Temp" tableColumnId="139"/>
      <queryTableField id="590" name="HRSG1C_Stack_Temp" tableColumnId="140"/>
      <queryTableField id="272" name="CW_Pump_Disch_Press" tableColumnId="272"/>
      <queryTableField id="273" name="CW_Pump_Disch_Flow" tableColumnId="273"/>
      <queryTableField id="274" name="CW_Pump_Disch_Temp" tableColumnId="274"/>
      <queryTableField id="591" name="Cond_WB_A_Outlet_Temp" tableColumnId="141"/>
      <queryTableField id="592" name="Cond_WB_B_Outlet_Temp" tableColumnId="142"/>
      <queryTableField id="593" name="CW_HX3_Temp" tableColumnId="143"/>
      <queryTableField id="278" name="CT_Blowdown_Flow" tableColumnId="278"/>
      <queryTableField id="279" name="GT1A_Diff_Press" tableColumnId="279"/>
      <queryTableField id="280" name="GT1B_Diff_Press" tableColumnId="280"/>
      <queryTableField id="281" name="GT1C_Diff_Press" tableColumnId="281"/>
      <queryTableField id="282" name="GT1A_GCV_Position" tableColumnId="282"/>
      <queryTableField id="283" name="GT1B_GCV_Position" tableColumnId="283"/>
      <queryTableField id="284" name="GT1C_GCV_Position" tableColumnId="284"/>
      <queryTableField id="285" name="GT1A_GCV_Reference" tableColumnId="285"/>
      <queryTableField id="286" name="GT1B_GCV_Reference" tableColumnId="286"/>
      <queryTableField id="287" name="GT1C_GCV_Reference" tableColumnId="287"/>
      <queryTableField id="288" name="GT1A_InterStg_Press" tableColumnId="288"/>
      <queryTableField id="289" name="GT1B_InterStg_Press" tableColumnId="289"/>
      <queryTableField id="290" name="GT1C_InterStg_Press" tableColumnId="290"/>
      <queryTableField id="313" name="Load_Type" tableColumnId="10"/>
      <queryTableField id="662" name="GT1A_OFWW" tableColumnId="144"/>
      <queryTableField id="663" name="GT1B_OFWW" tableColumnId="145"/>
      <queryTableField id="664" name="GT1C_OFWW" tableColumnId="146"/>
      <queryTableField id="306" dataBound="0" tableColumnId="306"/>
      <queryTableField id="307" dataBound="0" tableColumnId="4"/>
      <queryTableField id="308" dataBound="0" tableColumnId="5"/>
      <queryTableField id="312" dataBound="0" tableColumnId="9"/>
      <queryTableField id="309" dataBound="0" tableColumnId="6"/>
      <queryTableField id="310" dataBound="0" tableColumnId="7"/>
      <queryTableField id="311" dataBound="0" tableColumnId="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as_Turbine" xr10:uid="{F022B7D1-1D24-4F0C-8D2B-C31FBEA5344D}" sourceName="Gas Turbine">
  <extLst>
    <x:ext xmlns:x15="http://schemas.microsoft.com/office/spreadsheetml/2010/11/main" uri="{2F2917AC-EB37-4324-AD4E-5DD8C200BD13}">
      <x15:tableSlicerCache tableId="4" column="9"/>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our" xr10:uid="{CEBAEA9F-B0CE-4FE8-A428-B63DB5C6E06A}" sourceName="Hour">
  <extLst>
    <x:ext xmlns:x15="http://schemas.microsoft.com/office/spreadsheetml/2010/11/main" uri="{2F2917AC-EB37-4324-AD4E-5DD8C200BD13}">
      <x15:tableSlicerCache tableId="4" column="4"/>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as Turbine" xr10:uid="{4FD05F2B-6D6A-44A9-A84E-942FB259C749}" cache="Slicer_Gas_Turbine" caption="Gas Turbine" columnCount="4" rowHeight="209550"/>
  <slicer name="Hour" xr10:uid="{E6FE7750-E75A-45AA-A10B-7F61A744C483}" cache="Slicer_Hour" caption="Hour" startItem="5" columnCount="5" rowHeight="209550"/>
</slicers>
</file>

<file path=xl/tables/_rels/table8.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48A82AC-42E7-433C-BE28-3FA6459CACE7}" name="filepth" displayName="filepth" ref="B2:B3" totalsRowShown="0" headerRowDxfId="100" dataDxfId="99">
  <autoFilter ref="B2:B3" xr:uid="{048A82AC-42E7-433C-BE28-3FA6459CACE7}"/>
  <tableColumns count="1">
    <tableColumn id="1" xr3:uid="{28FBDD7F-74E8-4F30-9E90-C17EEC07390D}" name="File_Path" dataDxfId="9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298B4E1-ACF0-41BA-9B49-B8B5CA606116}" name="OFWW" displayName="OFWW" ref="B3:E5" totalsRowShown="0">
  <autoFilter ref="B3:E5" xr:uid="{E298B4E1-ACF0-41BA-9B49-B8B5CA606116}"/>
  <tableColumns count="4">
    <tableColumn id="1" xr3:uid="{43A324F3-5612-4939-8CAB-56B7ADC4DC2F}" name="Date " dataDxfId="97"/>
    <tableColumn id="2" xr3:uid="{619D432D-EDCE-496F-9A9B-375FA5960B8D}" name="GT-A "/>
    <tableColumn id="3" xr3:uid="{8BD1999C-BC7A-4B15-B449-61AD7606C372}" name="GT-B"/>
    <tableColumn id="4" xr3:uid="{3D9932B9-1059-4250-8B6D-E0D4351609BB}" name="GT-C"/>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AE14B77-1C1F-49C0-ACEC-B4DA2A6C22C1}" name="Filter_Log" displayName="Filter_Log" ref="H4:I5" totalsRowShown="0" headerRowDxfId="96">
  <autoFilter ref="H4:I5" xr:uid="{4AE14B77-1C1F-49C0-ACEC-B4DA2A6C22C1}"/>
  <tableColumns count="2">
    <tableColumn id="1" xr3:uid="{578B6B47-9024-4F39-B02F-AEDFAF05D028}" name="Date" dataDxfId="95"/>
    <tableColumn id="2" xr3:uid="{A8B06114-8AFB-4DBF-A7A5-721A4D7C4323}" name="GT Name" dataDxfId="9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FF96633-296F-4DB5-8C44-A1EEE4461804}" name="GT_A" displayName="GT_A" ref="B3:F17" totalsRowShown="0" headerRowDxfId="93" headerRowBorderDxfId="92" tableBorderDxfId="91">
  <tableColumns count="5">
    <tableColumn id="2" xr3:uid="{DF9B5441-763F-47C4-A03F-74F9A985FEFA}" name="GT A Desync" dataDxfId="90"/>
    <tableColumn id="3" xr3:uid="{A0E2DFDC-2F0E-4749-8A46-B82AE680C613}" name="GT A Sync" dataDxfId="89"/>
    <tableColumn id="4" xr3:uid="{26441C24-8103-4369-A6C5-D80CA5A4D467}" name="Column2" dataDxfId="88"/>
    <tableColumn id="1" xr3:uid="{59607D9B-D4D0-4244-ACD9-C62056EB17ED}" name="Column1" dataDxfId="87"/>
    <tableColumn id="16" xr3:uid="{5B21E623-ACB8-4C46-8C6C-6FF3EF36CDA8}" name="Reason" dataDxfId="86" dataCellStyle="Comma"/>
  </tableColumns>
  <tableStyleInfo name="TableStyleLight11"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806C9E25-1FC0-4BD8-90F6-08367DA80EBD}" name="GT_B" displayName="GT_B" ref="H3:L9" totalsRowShown="0" headerRowDxfId="85" dataDxfId="83" headerRowBorderDxfId="84" tableBorderDxfId="82">
  <tableColumns count="5">
    <tableColumn id="5" xr3:uid="{F056EB16-6AF7-4730-ADD3-7E7362C6261A}" name="GT B Desync" dataDxfId="81"/>
    <tableColumn id="6" xr3:uid="{A39936E1-CC37-4901-A1EE-12B0F210D45C}" name="GT B Sync" dataDxfId="80"/>
    <tableColumn id="2" xr3:uid="{764FDBF5-291A-493A-A562-6A411F664EC5}" name="Column2" dataDxfId="79"/>
    <tableColumn id="1" xr3:uid="{C118BD31-7DCE-4CEC-8298-82DF143F18EC}" name="Column1" dataDxfId="78"/>
    <tableColumn id="16" xr3:uid="{FCD1C523-6AFA-4105-A2D5-877CAF94A4FB}" name="Reason" dataDxfId="77" dataCellStyle="Comma"/>
  </tableColumns>
  <tableStyleInfo name="TableStyleMedium4"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FFEE4FC-D610-4209-B88B-793C8F60298F}" name="GT_C" displayName="GT_C" ref="N3:R12" totalsRowShown="0" headerRowDxfId="76" dataDxfId="74" headerRowBorderDxfId="75" tableBorderDxfId="73">
  <tableColumns count="5">
    <tableColumn id="8" xr3:uid="{ACC6790A-4E87-4A9A-AF61-847C9A3327F4}" name="GT C Desync" dataDxfId="72"/>
    <tableColumn id="9" xr3:uid="{EE46396F-22E9-471A-9B7E-4449E03DD02C}" name="GT C Sync" dataDxfId="71"/>
    <tableColumn id="2" xr3:uid="{1F635107-95B5-46CD-813F-2B4388D7785F}" name="Column2" dataDxfId="70" dataCellStyle="Comma"/>
    <tableColumn id="1" xr3:uid="{3F0465BC-B32B-4757-A5D7-A15A60C7D1AC}" name="Column1" dataDxfId="69" dataCellStyle="Comma"/>
    <tableColumn id="16" xr3:uid="{B4F0ABD1-56BE-4B5F-8CBC-313A1C26E1EB}" name="Reason" dataDxfId="68" dataCellStyle="Comma"/>
  </tableColumns>
  <tableStyleInfo name="TableStyleMedium4" showFirstColumn="0" showLastColumn="0" showRowStripes="0"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699EEDC-31FB-4797-BBC5-478033E4B9F6}" name="Daily_fuel_gas_composition" displayName="Daily_fuel_gas_composition" ref="A9:AA125" totalsRowShown="0" headerRowDxfId="129" tableBorderDxfId="128">
  <autoFilter ref="A9:AA125" xr:uid="{E699EEDC-31FB-4797-BBC5-478033E4B9F6}"/>
  <sortState xmlns:xlrd2="http://schemas.microsoft.com/office/spreadsheetml/2017/richdata2" ref="A10:AA124">
    <sortCondition ref="A9:A124"/>
  </sortState>
  <tableColumns count="27">
    <tableColumn id="1" xr3:uid="{B887B2CC-B8F6-44FE-B6B3-13687CB07A69}" name="Date" dataDxfId="127"/>
    <tableColumn id="2" xr3:uid="{F6520E3C-7B90-4AD7-A92D-E91D6250B9D3}" name="Hexane (%)" dataDxfId="126"/>
    <tableColumn id="3" xr3:uid="{07F76B26-28C0-49EB-9077-570D2943F111}" name="Nitrogen (%)" dataDxfId="125"/>
    <tableColumn id="4" xr3:uid="{D1DBEE2D-7DF0-45B7-A8BC-349547D4E89A}" name="Methane (%)" dataDxfId="124"/>
    <tableColumn id="5" xr3:uid="{EE4861A2-68C8-4232-B6AC-92709390BC30}" name="CO2 (%)" dataDxfId="123"/>
    <tableColumn id="6" xr3:uid="{24A0846B-7A34-42BA-976C-4BFFFFCF1AA8}" name="Ethane (%)" dataDxfId="122"/>
    <tableColumn id="7" xr3:uid="{16EA3D23-72DA-4C48-82F1-22C88F749864}" name="Propane (%)" dataDxfId="121"/>
    <tableColumn id="8" xr3:uid="{D824B345-DD5C-46F5-8DDC-D2A66EAEA185}" name="ISO Butane (%)" dataDxfId="120"/>
    <tableColumn id="9" xr3:uid="{0C9624B3-D933-441E-A980-3C5F8F1D5C92}" name="N Butane (%)" dataDxfId="119"/>
    <tableColumn id="10" xr3:uid="{D8B5D9CF-0939-49F3-8AF4-1E50B3ED14F9}" name="H2S (%) UCH II" dataDxfId="118"/>
    <tableColumn id="11" xr3:uid="{37EC6795-64E6-492C-9F7A-F7CEE4CF8764}" name="ISO Pentane (%)" dataDxfId="117"/>
    <tableColumn id="12" xr3:uid="{80D93012-77F8-49A2-ACEB-C210701283CA}" name="N Pentane (%)" dataDxfId="116"/>
    <tableColumn id="13" xr3:uid="{CBC4A86F-84A1-4F0A-B4B9-C68D95722D90}" name="H2S_x000a_UCH II PPM" dataDxfId="115">
      <calculatedColumnFormula>J10*10000</calculatedColumnFormula>
    </tableColumn>
    <tableColumn id="14" xr3:uid="{A6C1392C-8A8C-4804-A560-07BAB07078A6}" name="H2S UCH 1_x000a_PPM" dataDxfId="114"/>
    <tableColumn id="15" xr3:uid="{B230B652-8AB7-40E9-950B-5D51B36A3F6D}" name="Inert % _x000a_(N2+Co2)" dataDxfId="113"/>
    <tableColumn id="16" xr3:uid="{8285470B-D0B8-4823-BA9F-F0B554C70695}" name="LHV (BTU/scf)" dataDxfId="112">
      <calculatedColumnFormula>SUMPRODUCT($B$6:$L$6,B10:L10)/SUM(B10:L10)</calculatedColumnFormula>
    </tableColumn>
    <tableColumn id="17" xr3:uid="{8FC859EB-08F9-4F28-90F4-681019A67D0D}" name="Mixture MW" dataDxfId="111">
      <calculatedColumnFormula array="1">SUMPRODUCT(B10:L10/100,$B$7:$L$7)</calculatedColumnFormula>
    </tableColumn>
    <tableColumn id="18" xr3:uid="{C94365AC-19D7-46B8-AA42-BF8398D2F67A}" name="Specific Gravity" dataDxfId="110">
      <calculatedColumnFormula>Q10/28.96</calculatedColumnFormula>
    </tableColumn>
    <tableColumn id="19" xr3:uid="{BE12247F-5F97-4817-992D-8FF09C210CD7}" name="Wobbe Index (BTU/scf)" dataDxfId="109">
      <calculatedColumnFormula>T10/SQRT(R10)</calculatedColumnFormula>
    </tableColumn>
    <tableColumn id="20" xr3:uid="{C5EA6097-03BA-4C58-96AE-D12BBDA32636}" name="HHV Calculated. _x000a_(BTU/scf)" dataDxfId="108">
      <calculatedColumnFormula>SUMPRODUCT($B$5:$L$5,B10:L10)/SUM(B10:L10)</calculatedColumnFormula>
    </tableColumn>
    <tableColumn id="21" xr3:uid="{80EAB6D8-42DD-4B32-BEFC-A09607747295}" name="Calculated Density_x000a_ (lb/scf)" dataDxfId="107">
      <calculatedColumnFormula>Q10/379.3</calculatedColumnFormula>
    </tableColumn>
    <tableColumn id="22" xr3:uid="{A27BCE62-E686-4CB5-B21F-2BEFE8026FE8}" name="LHV _x000a_Btu/lbm" dataDxfId="106">
      <calculatedColumnFormula>P10/U10</calculatedColumnFormula>
    </tableColumn>
    <tableColumn id="23" xr3:uid="{4EAA5B92-4B0B-4589-904C-CFDAD435C8FB}" name="H/C Ratio" dataDxfId="105">
      <calculatedColumnFormula>SUMPRODUCT($B$4:$L$4, B10:L10) / (SUMPRODUCT($B$3:$L$3, B10:L10) - E10)</calculatedColumnFormula>
    </tableColumn>
    <tableColumn id="24" xr3:uid="{412C6AEB-0E10-41C4-95EF-4808A43617BA}" name="UCH 1 GCV" dataDxfId="104"/>
    <tableColumn id="25" xr3:uid="{86A7DC1A-4072-442B-B139-2D83F2C2EFE1}" name="UCH 1 H2S" dataDxfId="103"/>
    <tableColumn id="26" xr3:uid="{E8581F83-AAD2-4A45-BD5A-91CF6E34DA62}" name="Uch 1 LHV BTU/lbm" dataDxfId="102">
      <calculatedColumnFormula>IF(Daily_fuel_gas_composition[[#This Row],[UCH 1 GCV]]&lt;400,0,(Daily_fuel_gas_composition[[#This Row],[UCH 1 GCV]]/(Daily_fuel_gas_composition[[#This Row],[HHV Calculated. 
(BTU/scf)]]/Daily_fuel_gas_composition[[#This Row],[LHV (BTU/scf)]]))/(0.997495*Daily_fuel_gas_composition[[#This Row],[Calculated Density
 (lb/scf)]]))</calculatedColumnFormula>
    </tableColumn>
    <tableColumn id="27" xr3:uid="{9639BB7C-6431-48B5-8C07-95CC910AEC64}" name="Column1" dataDxfId="101"/>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F0AD257-5B5C-49A3-ABDA-090B4D585897}" name="GT1A_Performance" displayName="GT1A_Performance" ref="A1:DG12" tableType="queryTable" totalsRowShown="0">
  <autoFilter ref="A1:DG12" xr:uid="{FF0AD257-5B5C-49A3-ABDA-090B4D585897}">
    <filterColumn colId="1">
      <filters>
        <filter val="11"/>
        <filter val="12"/>
        <filter val="13"/>
        <filter val="14"/>
        <filter val="15"/>
        <filter val="16"/>
      </filters>
    </filterColumn>
  </autoFilter>
  <tableColumns count="111">
    <tableColumn id="1" xr3:uid="{358C8823-14D2-427E-82E3-AEA33D05240F}" uniqueName="1" name="Date Only" queryTableFieldId="1" dataDxfId="52"/>
    <tableColumn id="2" xr3:uid="{371D933B-7297-4551-9BB9-226CD45E0753}" uniqueName="2" name="Hour" queryTableFieldId="2"/>
    <tableColumn id="3" xr3:uid="{F786C8ED-2D9F-4519-BC28-A4AD16CC8879}" uniqueName="3" name="Time Stamp" queryTableFieldId="3" dataDxfId="51"/>
    <tableColumn id="4" xr3:uid="{A051D3E2-D363-4C45-A6AD-4D1E1EA29225}" uniqueName="4" name="GT_Unit" queryTableFieldId="4"/>
    <tableColumn id="5" xr3:uid="{8BBC12D1-5A7D-4632-B896-D33E2C5922F0}" uniqueName="5" name="GT1A_Gen_MW" queryTableFieldId="5"/>
    <tableColumn id="6" xr3:uid="{CE188589-59B7-42CD-A7C8-9D8B0CDE21EC}" uniqueName="6" name="FuelFlow_kg_s" queryTableFieldId="6"/>
    <tableColumn id="7" xr3:uid="{04FE7280-C1F9-47FF-BCE3-7B97553A2F2F}" uniqueName="7" name="MMBTU_hr" queryTableFieldId="7"/>
    <tableColumn id="8" xr3:uid="{707A2C18-A22A-4C86-B85F-BC4F26F9ACEA}" uniqueName="8" name="MeasuredOutput_MW" queryTableFieldId="8"/>
    <tableColumn id="9" xr3:uid="{5B004CC9-282F-4B18-8B51-1EE9EA37CF00}" uniqueName="9" name="GT1A_Fuel_Flow" queryTableFieldId="9"/>
    <tableColumn id="10" xr3:uid="{498CCD1B-85C6-4C0E-B87E-38E4C39594CC}" uniqueName="10" name="CorrectedOutput_MW" queryTableFieldId="10"/>
    <tableColumn id="11" xr3:uid="{495236C1-5CAF-4293-9C18-3879DEA17FAF}" uniqueName="11" name="MeasuredHeatRate" queryTableFieldId="11"/>
    <tableColumn id="12" xr3:uid="{601A3778-59B2-4E15-9F17-854BFDA54EFE}" uniqueName="12" name="CorrectedHeatRate" queryTableFieldId="12"/>
    <tableColumn id="94" xr3:uid="{B90B1C65-C2E9-42A3-9BC7-8EBF9D5C990C}" uniqueName="94" name="GTHeatRate_BTU_kWh" queryTableFieldId="119"/>
    <tableColumn id="95" xr3:uid="{55356479-4DFF-4F66-8625-621BC6A30E40}" uniqueName="95" name="CorrectedHeatRate_BTU_kWh" queryTableFieldId="120"/>
    <tableColumn id="78" xr3:uid="{B2C93CCF-4408-4A2D-8EB5-2C0555283774}" uniqueName="78" name="CorrectedExhaustTemp" queryTableFieldId="81"/>
    <tableColumn id="15" xr3:uid="{58F01A82-894B-4E29-9F4B-49264014E711}" uniqueName="15" name="GT1A_Fuel_Temp" queryTableFieldId="15"/>
    <tableColumn id="79" xr3:uid="{7CAE790A-6A43-4C70-83A0-2048492C39B5}" uniqueName="79" name="CorrectedExhaustFlow" queryTableFieldId="82"/>
    <tableColumn id="80" xr3:uid="{974A9342-5733-488B-A830-EAB819998B53}" uniqueName="80" name="CorrectedEfficiency" queryTableFieldId="83" dataDxfId="50" dataCellStyle="Percent"/>
    <tableColumn id="13" xr3:uid="{5ABBF1E9-5EFE-4BFF-92A1-6545E8B2509D}" uniqueName="13" name="Combined_OutputCF" queryTableFieldId="13" dataDxfId="49" dataCellStyle="Percent"/>
    <tableColumn id="18" xr3:uid="{3DED85B9-6709-4CCE-BAB6-38024C47997F}" uniqueName="18" name="HC_Ratio" queryTableFieldId="18"/>
    <tableColumn id="14" xr3:uid="{093B60DB-A1E9-4982-A9AE-26A642EBB227}" uniqueName="14" name="Combined_HRCF" queryTableFieldId="14"/>
    <tableColumn id="81" xr3:uid="{24F04CD0-9B81-4BAC-A840-337C2A15A29F}" uniqueName="81" name="Combined_ExhFlowCF" queryTableFieldId="84"/>
    <tableColumn id="82" xr3:uid="{EEE81219-4019-47EB-87D2-6FB7A90B202F}" uniqueName="82" name="MeasuredExhaustTemp" queryTableFieldId="85"/>
    <tableColumn id="83" xr3:uid="{0F6C56CA-9646-4825-82E7-80AB167EE93C}" uniqueName="83" name="MeasuredExhaustFlow" queryTableFieldId="86"/>
    <tableColumn id="16" xr3:uid="{87C0A30F-68FD-4D2F-A5D7-27A70492A27E}" uniqueName="16" name="GT1A_Comp_Inlet_Temp" queryTableFieldId="16"/>
    <tableColumn id="17" xr3:uid="{DC0E81FB-270B-4F88-B9B5-FECB683E3F62}" uniqueName="17" name="GT1A_Turb_Exh_Temp" queryTableFieldId="17"/>
    <tableColumn id="19" xr3:uid="{900017E7-6372-4C83-AC3D-06907F729EFD}" uniqueName="19" name="GT1A_Comp_Disch_Temp" queryTableFieldId="19"/>
    <tableColumn id="20" xr3:uid="{6D066D60-8165-43FF-8305-31820779E451}" uniqueName="20" name="GT1A_Comp_Disch_Press" queryTableFieldId="20"/>
    <tableColumn id="84" xr3:uid="{9174932B-ADA8-4280-BEB8-E9B8A3E4D353}" uniqueName="84" name="Compressor_PR" queryTableFieldId="95"/>
    <tableColumn id="85" xr3:uid="{9ABDABAE-D314-4AA9-9180-79FDE96D32A5}" uniqueName="85" name="Compressor_Efficiency" queryTableFieldId="96"/>
    <tableColumn id="21" xr3:uid="{EC563D33-C845-4805-B107-2549E24C3FFF}" uniqueName="21" name="GT1A_IGV_Position" queryTableFieldId="21"/>
    <tableColumn id="22" xr3:uid="{2F75905A-B281-499B-8319-7F2FB8DB736D}" uniqueName="22" name="Calculated_WB_Temp" queryTableFieldId="22"/>
    <tableColumn id="23" xr3:uid="{B5E85C59-516A-4A93-A1CC-95C08AB9F1C4}" uniqueName="23" name="H2_Bldg_WB_Temp" queryTableFieldId="23"/>
    <tableColumn id="24" xr3:uid="{0489B4C7-C784-453D-BF1E-6540331BFE85}" uniqueName="24" name="EvapCooler_Eff_Calc_WB" queryTableFieldId="24"/>
    <tableColumn id="25" xr3:uid="{7EC132BE-CC91-4D64-9AB0-C0334FB60BD6}" uniqueName="25" name="EvapCooler_Eff_H2_Bldg_WB" queryTableFieldId="25"/>
    <tableColumn id="26" xr3:uid="{7D012480-514D-408A-84E7-91010C953A8A}" uniqueName="26" name="Cooler_Status" queryTableFieldId="26"/>
    <tableColumn id="86" xr3:uid="{3CFFE85D-D204-4D0C-88C0-E74ADAA43AA5}" uniqueName="86" name="GT1A_OFWW" queryTableFieldId="99"/>
    <tableColumn id="27" xr3:uid="{4CBFB914-D90A-456A-A1A2-35E9599BB300}" uniqueName="27" name="Ambient_Temp_DB" queryTableFieldId="27"/>
    <tableColumn id="28" xr3:uid="{35C80304-9119-4F92-A66E-289E5499B76E}" uniqueName="28" name="Rel_Humidity" queryTableFieldId="28"/>
    <tableColumn id="29" xr3:uid="{A890C212-A180-4AF3-AFF8-E87166260ACB}" uniqueName="29" name="Ambient_Press" queryTableFieldId="29"/>
    <tableColumn id="30" xr3:uid="{70AAFCA3-EE0E-4277-91E9-3647CA74A08F}" uniqueName="30" name="CIT_degC" queryTableFieldId="30"/>
    <tableColumn id="31" xr3:uid="{F958A452-24B7-424C-A24E-A16F9E1F8CCB}" uniqueName="31" name="RH_pct" queryTableFieldId="31"/>
    <tableColumn id="89" xr3:uid="{43F6AAFB-8BD0-485A-9D97-0932D65B5849}" uniqueName="89" name="RH_at_CIT" queryTableFieldId="104"/>
    <tableColumn id="32" xr3:uid="{F2BCF00F-F6B6-461E-AA7C-329FD4E65900}" uniqueName="32" name="ShaftSpeedRatio" queryTableFieldId="32"/>
    <tableColumn id="33" xr3:uid="{78D24E4D-7337-4E6D-A394-CE36803D7422}" uniqueName="33" name="GT1A_Turbine_Speed" queryTableFieldId="33"/>
    <tableColumn id="34" xr3:uid="{DFBCEA40-7711-4CD1-A17E-1CA20671438E}" uniqueName="34" name="FuelTemp_degC" queryTableFieldId="34"/>
    <tableColumn id="75" xr3:uid="{38714629-68BB-429B-81F5-1EF4802BCFA2}" uniqueName="75" name="GT1A_Diff_Press" queryTableFieldId="75"/>
    <tableColumn id="35" xr3:uid="{132F9744-0C63-4499-8673-7D6408246432}" uniqueName="35" name="InletDP_mmH2O" queryTableFieldId="35"/>
    <tableColumn id="36" xr3:uid="{118BDE2A-516E-4147-B492-4A38D72D1396}" uniqueName="36" name="DeltaExhDP_mmH2O" queryTableFieldId="36"/>
    <tableColumn id="37" xr3:uid="{6070EBA3-7321-4755-86C2-E664210FD0E4}" uniqueName="37" name="ExhaustDP_mmH2O" queryTableFieldId="37"/>
    <tableColumn id="38" xr3:uid="{19CFB5E8-D0BB-4399-992D-7595DA82CE66}" uniqueName="38" name="BaroPressure_mbara" queryTableFieldId="38"/>
    <tableColumn id="39" xr3:uid="{76792597-6E8A-4278-9008-EA55FD50552E}" uniqueName="39" name="FuelLHV_kJkg" queryTableFieldId="39"/>
    <tableColumn id="40" xr3:uid="{DD0C80CD-C329-48CA-9466-0F51DC830477}" uniqueName="40" name="HC_ratio2" queryTableFieldId="40"/>
    <tableColumn id="41" xr3:uid="{D9A27595-CDAE-4142-A868-518A855F8F98}" uniqueName="41" name="LHV_Btu_lbm" queryTableFieldId="41"/>
    <tableColumn id="92" xr3:uid="{AAD63560-2975-4626-ABF2-2F01E4E32A2D}" uniqueName="92" name="HHV_BTU_SCF" queryTableFieldId="112"/>
    <tableColumn id="42" xr3:uid="{4BF6A9C7-2C25-4BB4-A220-8833414E6A28}" uniqueName="42" name="CF1_ExhaustPressure_mmH2O" queryTableFieldId="42"/>
    <tableColumn id="43" xr3:uid="{8A5E3904-3106-467A-9124-07E126013B8B}" uniqueName="43" name="CF2_OutputRatio" queryTableFieldId="43"/>
    <tableColumn id="44" xr3:uid="{20A106EB-0951-4393-B2DB-7EA0A004AB66}" uniqueName="44" name="CF3_HeatRateRatio" queryTableFieldId="44"/>
    <tableColumn id="45" xr3:uid="{A0C3EA7D-0DB1-42CD-803E-E9FD06BB2D10}" uniqueName="45" name="CF4_ExhaustFlowRatio" queryTableFieldId="45"/>
    <tableColumn id="46" xr3:uid="{B7073817-C364-4CB2-BF5D-AAF6816A76CB}" uniqueName="46" name="CF5_ExhaustTempDiff_degC" queryTableFieldId="46"/>
    <tableColumn id="47" xr3:uid="{78E2E6B1-24CD-481D-AE71-F8F34A0E5F65}" uniqueName="47" name="CF6_OutputRatio" queryTableFieldId="47"/>
    <tableColumn id="48" xr3:uid="{44464F28-C353-4044-8DD7-5FF72799BF96}" uniqueName="48" name="CF7_HeatRateRatio" queryTableFieldId="48"/>
    <tableColumn id="49" xr3:uid="{0AB56C4A-C3B9-4682-834F-091817F97FF8}" uniqueName="49" name="CF8_ExhaustFlowRatio" queryTableFieldId="49"/>
    <tableColumn id="50" xr3:uid="{4E892FD8-DE9F-4DE9-9DC2-B9701C587F38}" uniqueName="50" name="CF9_ExhaustTempDiff_degC" queryTableFieldId="50"/>
    <tableColumn id="51" xr3:uid="{3F5B4A2C-9912-4BDC-8564-576A37E22FF3}" uniqueName="51" name="CF10_OutputRatio" queryTableFieldId="51"/>
    <tableColumn id="52" xr3:uid="{6A87291C-78D5-4F7D-93CA-2F769E58E6E2}" uniqueName="52" name="CF11_HeatRateRatio" queryTableFieldId="52"/>
    <tableColumn id="53" xr3:uid="{B39D3514-B5B6-448F-8EEF-B318B96EB686}" uniqueName="53" name="CF12_ExhaustFlowRatio" queryTableFieldId="53"/>
    <tableColumn id="54" xr3:uid="{FDE03DF3-CC4D-42AA-94C4-6F8473C6CF96}" uniqueName="54" name="CF13_ExhaustTempDiff_degC" queryTableFieldId="54"/>
    <tableColumn id="55" xr3:uid="{407EB35C-B798-4E0A-A9A3-4BCAAD8FD372}" uniqueName="55" name="CF14_OutputRatio" queryTableFieldId="55"/>
    <tableColumn id="56" xr3:uid="{84A42747-21D1-4815-99C7-565B97DC3E76}" uniqueName="56" name="CF15_HeatRateRatio" queryTableFieldId="56"/>
    <tableColumn id="57" xr3:uid="{1C7BC288-28EC-4353-8E06-5249E1CBC2C5}" uniqueName="57" name="CF16_OutputRatio" queryTableFieldId="57"/>
    <tableColumn id="58" xr3:uid="{F0297EE4-0375-410B-836B-4DEBDA3468B9}" uniqueName="58" name="CF17_HeatRateRatio" queryTableFieldId="58"/>
    <tableColumn id="59" xr3:uid="{8D4F65C9-9991-4A69-962F-A7ED8C127D10}" uniqueName="59" name="CF18_ExhaustFlowRatio" queryTableFieldId="59"/>
    <tableColumn id="60" xr3:uid="{EBA426C4-9E09-46F7-BF53-83261B43AFF1}" uniqueName="60" name="CF19_ExhaustTempDiff_degC" queryTableFieldId="60"/>
    <tableColumn id="61" xr3:uid="{38E3D7A4-B9DE-4F97-9DBE-19E842BA9B8C}" uniqueName="61" name="CF20_OutputRatio" queryTableFieldId="61"/>
    <tableColumn id="62" xr3:uid="{6E02D84F-7CED-4BAA-BC2D-3697A0AEF8F3}" uniqueName="62" name="CF21_HeatRateRatio" queryTableFieldId="62"/>
    <tableColumn id="63" xr3:uid="{3473C550-0362-4C1E-A70E-E76E61172BFC}" uniqueName="63" name="CF22_ExhaustTempDiff_degC" queryTableFieldId="63"/>
    <tableColumn id="64" xr3:uid="{C2AFC666-7165-4D9A-AD12-F1D46CB29BCE}" uniqueName="64" name="CF23_OutputRatio" queryTableFieldId="64"/>
    <tableColumn id="87" xr3:uid="{C7DEC8A1-D0FF-4AD3-8609-488DADE4EFD4}" uniqueName="87" name="MeasuredHeatRate_BTU" queryTableFieldId="102"/>
    <tableColumn id="88" xr3:uid="{ABFA0CCE-CB0F-4928-90FF-B0667A37E717}" uniqueName="88" name="CorrectedHeatRate_BTU" queryTableFieldId="103"/>
    <tableColumn id="65" xr3:uid="{42E726EA-C4BD-478A-A464-B574A5C5624E}" uniqueName="65" name="CF24_HeatRateRatio" queryTableFieldId="65"/>
    <tableColumn id="66" xr3:uid="{78DEECE6-447A-455F-BA9B-8D935A8C166A}" uniqueName="66" name="CF25_ExhaustTempDiff_degC" queryTableFieldId="66"/>
    <tableColumn id="67" xr3:uid="{286F7BFB-089B-42D8-A63D-E73F824882A2}" uniqueName="67" name="CF26_OutputRatio" queryTableFieldId="67"/>
    <tableColumn id="68" xr3:uid="{CBAFC9CF-5DA2-4DAE-BBE1-6E73A6BFB5BA}" uniqueName="68" name="CF27_HeatRateRatio" queryTableFieldId="68"/>
    <tableColumn id="69" xr3:uid="{8C431E93-BC17-4050-830B-CA235D8EBF1E}" uniqueName="69" name="CF28_ExhaustFlowRatio" queryTableFieldId="69"/>
    <tableColumn id="70" xr3:uid="{2E4622AB-DC91-48FA-B76C-B2AABA511A39}" uniqueName="70" name="CF29_ExhaustTempDiff_degC" queryTableFieldId="70"/>
    <tableColumn id="71" xr3:uid="{0D088E2E-B8C7-47F9-AA88-D214F7418BA1}" uniqueName="71" name="CF30_OutputRatio" queryTableFieldId="71"/>
    <tableColumn id="72" xr3:uid="{96D46A61-0EEF-4340-959E-E6C3F89E66AB}" uniqueName="72" name="CF31_HeatRateRatio" queryTableFieldId="72"/>
    <tableColumn id="73" xr3:uid="{04BC132F-F58A-40F9-B4EC-09680A18A23D}" uniqueName="73" name="CF32_ExhaustFlowRatio" queryTableFieldId="73"/>
    <tableColumn id="74" xr3:uid="{594349E2-4A46-4959-938F-E4F35F0AE6A3}" uniqueName="74" name="CF33_ExhaustTempDiff_degC" queryTableFieldId="74"/>
    <tableColumn id="76" xr3:uid="{62207367-3518-4657-B74A-6093AA9522AB}" uniqueName="76" name="Calc_CorrectedOutput_MW" queryTableFieldId="79"/>
    <tableColumn id="96" xr3:uid="{A3C4A45C-E963-4B62-B105-4028E0B590EA}" uniqueName="96" name="Calc_GTHeatRate_BTU_kWh" queryTableFieldId="121" dataDxfId="48"/>
    <tableColumn id="97" xr3:uid="{494AF0A4-C7AB-4CF4-8CB6-84BE12635790}" uniqueName="97" name="Calc_CorrectedHeatRate_BTU_kWh" queryTableFieldId="122" dataDxfId="47"/>
    <tableColumn id="77" xr3:uid="{EFD4BE63-57A8-4592-8099-665E590B37D3}" uniqueName="77" name="MW_CIT" queryTableFieldId="189"/>
    <tableColumn id="90" xr3:uid="{61E6E1CB-14B6-4AD0-96FA-D261359CA0BC}" uniqueName="90" name="MW_RH" queryTableFieldId="190"/>
    <tableColumn id="91" xr3:uid="{6E4E3200-F412-4A4C-9004-B7A7EEE41388}" uniqueName="91" name="MW_SS" queryTableFieldId="191"/>
    <tableColumn id="93" xr3:uid="{6C349E87-D4A4-4119-AE5C-750FB5E8053D}" uniqueName="93" name="MW_FuelTemp" queryTableFieldId="192"/>
    <tableColumn id="98" xr3:uid="{6E95C2F9-0DDE-42DB-99E4-BEBF4F592CD0}" uniqueName="98" name="MW_InletDP" queryTableFieldId="193"/>
    <tableColumn id="99" xr3:uid="{9F3A8455-359D-49F5-8897-6E17AEE8FBB6}" uniqueName="99" name="MW_ExhPress" queryTableFieldId="194"/>
    <tableColumn id="100" xr3:uid="{375F30F4-C863-437A-8ABE-D193C967034A}" uniqueName="100" name="MW_ExhDP" queryTableFieldId="195"/>
    <tableColumn id="101" xr3:uid="{6C398F72-1D4B-447D-AB3F-307E0C65C145}" uniqueName="101" name="MW_BaroPress" queryTableFieldId="196"/>
    <tableColumn id="102" xr3:uid="{D100AC8D-0574-48A0-873B-6E67CEAB9634}" uniqueName="102" name="MW_FuelComp" queryTableFieldId="197"/>
    <tableColumn id="103" xr3:uid="{97F38721-3DEC-4908-8DBC-4770B6011141}" uniqueName="103" name="HR_CIT" queryTableFieldId="198"/>
    <tableColumn id="104" xr3:uid="{93E57F9E-6D5F-4A1A-965D-95ABF40C0F81}" uniqueName="104" name="HR_RH" queryTableFieldId="199"/>
    <tableColumn id="105" xr3:uid="{E501ABAC-5C93-490E-823A-86643EAD980B}" uniqueName="105" name="HR_SS" queryTableFieldId="200"/>
    <tableColumn id="106" xr3:uid="{D1A1560D-0C5E-4BAA-9291-49C84749ED04}" uniqueName="106" name="HR_FuelTemp" queryTableFieldId="201"/>
    <tableColumn id="107" xr3:uid="{5996B374-46E7-467E-A059-812ABA56C80C}" uniqueName="107" name="HR_InletDP" queryTableFieldId="202"/>
    <tableColumn id="108" xr3:uid="{B166549D-7DE5-4681-9BF1-0C0FF56A896F}" uniqueName="108" name="HR_ExhPress" queryTableFieldId="203"/>
    <tableColumn id="109" xr3:uid="{4ECAB3C7-3735-4293-A882-F03120FC9C89}" uniqueName="109" name="HR_ExhDP" queryTableFieldId="204"/>
    <tableColumn id="110" xr3:uid="{9AD09E93-84F4-45C4-92D9-C7D769580BA4}" uniqueName="110" name="HR_BaroPress" queryTableFieldId="205"/>
    <tableColumn id="111" xr3:uid="{DF443FBA-B493-4929-86B8-8A77A315B9CF}" uniqueName="111" name="HR_FuelComp" queryTableFieldId="206"/>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D59A94B-E5AC-4254-99BC-2060FA947391}" name="GT1B_Performance" displayName="GT1B_Performance" ref="A1:DG12" tableType="queryTable" totalsRowShown="0">
  <autoFilter ref="A1:DG12" xr:uid="{AD59A94B-E5AC-4254-99BC-2060FA947391}"/>
  <tableColumns count="111">
    <tableColumn id="1" xr3:uid="{46B4B73E-2DE8-4AC7-B7E8-CF8C831E37FE}" uniqueName="1" name="Date Only" queryTableFieldId="1" dataDxfId="46"/>
    <tableColumn id="2" xr3:uid="{32DD9F61-8AC7-4324-A06A-7C5875AF9F2A}" uniqueName="2" name="Hour" queryTableFieldId="2"/>
    <tableColumn id="3" xr3:uid="{C7020923-71DD-40E4-8516-EB8904F0D838}" uniqueName="3" name="Time Stamp" queryTableFieldId="3" dataDxfId="45"/>
    <tableColumn id="4" xr3:uid="{0BAA9EE3-44C8-41DA-83DF-D7A10846B311}" uniqueName="4" name="GT_Unit" queryTableFieldId="4"/>
    <tableColumn id="5" xr3:uid="{4D48AF18-32AC-43CF-8567-9E721CAABC22}" uniqueName="5" name="GT1B_Gen_MW" queryTableFieldId="5"/>
    <tableColumn id="6" xr3:uid="{C25FF900-5E61-44B9-B021-085A5E96746C}" uniqueName="6" name="FuelFlow_kg_s" queryTableFieldId="6"/>
    <tableColumn id="7" xr3:uid="{440BA18E-536B-42AB-A36B-A37E1B50B1C6}" uniqueName="7" name="MMBTU_hr" queryTableFieldId="7"/>
    <tableColumn id="8" xr3:uid="{0932E71B-7894-448C-9CC8-E01A62A8AEBA}" uniqueName="8" name="MeasuredOutput_MW" queryTableFieldId="8"/>
    <tableColumn id="9" xr3:uid="{3AC58470-0D35-4014-B752-150A1FCF70EB}" uniqueName="9" name="GT1B_Fuel_Flow" queryTableFieldId="9"/>
    <tableColumn id="10" xr3:uid="{09329EE7-C082-46B1-B751-DE674FEC0D34}" uniqueName="10" name="CorrectedOutput_MW" queryTableFieldId="10"/>
    <tableColumn id="11" xr3:uid="{B7D68CA1-392F-4F41-8025-BA022FC54672}" uniqueName="11" name="MeasuredHeatRate" queryTableFieldId="11"/>
    <tableColumn id="12" xr3:uid="{E19FD13F-2618-4FE9-B077-E9CD362BFC65}" uniqueName="12" name="CorrectedHeatRate" queryTableFieldId="12"/>
    <tableColumn id="93" xr3:uid="{43F143AE-4F0C-4F7B-BCC8-4131451FC91B}" uniqueName="93" name="GTHeatRate_BTU_kWh" queryTableFieldId="115"/>
    <tableColumn id="94" xr3:uid="{EC4E31F0-D8BC-4E20-A98F-76103754E63C}" uniqueName="94" name="CorrectedHeatRate_BTU_kWh" queryTableFieldId="116"/>
    <tableColumn id="78" xr3:uid="{4F41C1D5-4534-4A78-A68A-899771577234}" uniqueName="78" name="CorrectedExhaustTemp" queryTableFieldId="78"/>
    <tableColumn id="16" xr3:uid="{1F2B14B9-0814-4D06-9627-6E42D7E4B5E9}" uniqueName="16" name="GT1B_Fuel_Temp" queryTableFieldId="16"/>
    <tableColumn id="79" xr3:uid="{2ABCB9C6-C562-4E13-86E5-BA5F3D7825BC}" uniqueName="79" name="CorrectedExhaustFlow" queryTableFieldId="79"/>
    <tableColumn id="80" xr3:uid="{FEA2266E-EB8A-4B71-AC95-AE8D096F2A11}" uniqueName="80" name="CorrectedEfficiency" queryTableFieldId="80" dataDxfId="44" dataCellStyle="Percent"/>
    <tableColumn id="13" xr3:uid="{0B33F354-73A5-47D2-B9AC-A036EFDA0080}" uniqueName="13" name="Combined_OutputCF" queryTableFieldId="13" dataDxfId="43" dataCellStyle="Percent"/>
    <tableColumn id="19" xr3:uid="{0C71ED30-B8C6-4338-915E-8EECE9498933}" uniqueName="19" name="HC_Ratio" queryTableFieldId="19"/>
    <tableColumn id="14" xr3:uid="{05BF03A7-6DCF-4C6E-8751-CE02D18376FE}" uniqueName="14" name="Combined_HRCF" queryTableFieldId="14"/>
    <tableColumn id="81" xr3:uid="{8852654C-8E0E-44BF-A2E1-80E2FA51B4E0}" uniqueName="81" name="Combined_ExhFlowCF" queryTableFieldId="81"/>
    <tableColumn id="82" xr3:uid="{4B84DFCA-DD7D-4637-BA14-DA182654D0F8}" uniqueName="82" name="MeasuredExhaustTemp" queryTableFieldId="82"/>
    <tableColumn id="83" xr3:uid="{468CC711-EF46-4C45-86A5-702B939EB18B}" uniqueName="83" name="MeasuredExhaustFlow" queryTableFieldId="83"/>
    <tableColumn id="15" xr3:uid="{436F8338-368B-4B98-8F80-810DCE119D49}" uniqueName="15" name="GT1B_Comp_Inlet_Temp" queryTableFieldId="15"/>
    <tableColumn id="17" xr3:uid="{5713000C-06A1-43D7-B9E7-402FC584DEF9}" uniqueName="17" name="GT1B_Turb_Exh_Temp" queryTableFieldId="17"/>
    <tableColumn id="18" xr3:uid="{7B75936A-03EF-47B4-AED9-39B5377BDB7C}" uniqueName="18" name="GT1B_Comp_Disch_Temp" queryTableFieldId="18"/>
    <tableColumn id="20" xr3:uid="{896513F7-3891-42F9-9455-B1CD9A448EF1}" uniqueName="20" name="GT1B_Comp_Disch_Press" queryTableFieldId="20"/>
    <tableColumn id="84" xr3:uid="{DBD371BE-6ABC-4426-951E-229FA352FDD0}" uniqueName="84" name="Compressor_PR" queryTableFieldId="92"/>
    <tableColumn id="85" xr3:uid="{2EE36899-7022-45DD-9A0E-A0E8A2CDFEA4}" uniqueName="85" name="Compressor_Efficiency" queryTableFieldId="93"/>
    <tableColumn id="21" xr3:uid="{DCF074C6-456D-4BB3-9457-53BB0D83398E}" uniqueName="21" name="GT1B_IGV_Position" queryTableFieldId="21"/>
    <tableColumn id="22" xr3:uid="{B42EC561-8AAA-4702-8782-E4F9FB175A61}" uniqueName="22" name="Calculated_WB_Temp" queryTableFieldId="22"/>
    <tableColumn id="23" xr3:uid="{F2BE169D-3BDE-4CEF-86F8-FB9F245CE357}" uniqueName="23" name="H2_Bldg_WB_Temp" queryTableFieldId="23"/>
    <tableColumn id="24" xr3:uid="{66FB96F9-4D48-48AF-AFF7-D92F77B6A947}" uniqueName="24" name="EvapCooler_Eff_Calc_WB" queryTableFieldId="24"/>
    <tableColumn id="25" xr3:uid="{C051CA35-5AE6-4582-ACF7-0C4C0877301A}" uniqueName="25" name="EvapCooler_Eff_H2_Bldg_WB" queryTableFieldId="25"/>
    <tableColumn id="26" xr3:uid="{6D582073-9ED1-4E15-9192-0A9B604FDFDC}" uniqueName="26" name="Cooler_Status" queryTableFieldId="26"/>
    <tableColumn id="86" xr3:uid="{337FB01D-4A0C-4FFE-8766-DA2B90EE0CBF}" uniqueName="86" name="GT1B_OFWW" queryTableFieldId="96"/>
    <tableColumn id="27" xr3:uid="{53B16A2D-58D3-43DD-B6FD-BE06B0139A81}" uniqueName="27" name="Ambient_Temp_DB" queryTableFieldId="27"/>
    <tableColumn id="28" xr3:uid="{CD43B8FF-3857-42CD-A531-22498F881704}" uniqueName="28" name="Rel_Humidity" queryTableFieldId="28"/>
    <tableColumn id="29" xr3:uid="{5271F799-1F7B-459A-BD51-45191E20BA43}" uniqueName="29" name="Ambient_Press" queryTableFieldId="29"/>
    <tableColumn id="30" xr3:uid="{EBBBA364-C146-4F4F-8B4A-7E88C0D30148}" uniqueName="30" name="CIT_degC" queryTableFieldId="30"/>
    <tableColumn id="31" xr3:uid="{F4D1C4AF-74D8-4ECC-B934-22624E7A0A11}" uniqueName="31" name="RH_pct" queryTableFieldId="31"/>
    <tableColumn id="89" xr3:uid="{036A7A9F-C74D-4974-AE7C-2245B27A8E28}" uniqueName="89" name="RH_at_CIT" queryTableFieldId="101"/>
    <tableColumn id="32" xr3:uid="{DB826245-A543-4426-8755-950133E70773}" uniqueName="32" name="ShaftSpeedRatio" queryTableFieldId="32"/>
    <tableColumn id="33" xr3:uid="{041C02E7-2F9E-4CDA-9F37-FD00A477BE19}" uniqueName="33" name="GT1B_Turbine_Speed" queryTableFieldId="33"/>
    <tableColumn id="34" xr3:uid="{899C9754-3789-4715-B1FF-2258518F11DF}" uniqueName="34" name="FuelTemp_degC" queryTableFieldId="34"/>
    <tableColumn id="35" xr3:uid="{D47C4AA1-1632-495F-8F34-E7C3C4DC4311}" uniqueName="35" name="GT1B_Diff_Press" queryTableFieldId="35"/>
    <tableColumn id="36" xr3:uid="{3A3F97C6-E4B3-4943-948E-E6731DFF201A}" uniqueName="36" name="InletDP_mmH2O" queryTableFieldId="36"/>
    <tableColumn id="37" xr3:uid="{B28CF181-EEFE-4C23-9A94-E70BCC9DBBE4}" uniqueName="37" name="DeltaExhDP_mmH2O" queryTableFieldId="37"/>
    <tableColumn id="38" xr3:uid="{5E2AAE26-B731-4747-B3D1-2E320D427492}" uniqueName="38" name="ExhaustDP_mmH2O" queryTableFieldId="38"/>
    <tableColumn id="39" xr3:uid="{F742BBB1-0711-4596-813F-09D0AF828FB0}" uniqueName="39" name="BaroPressure_mbara" queryTableFieldId="39"/>
    <tableColumn id="40" xr3:uid="{7F613A7F-D162-499E-8E94-14B7AAA79104}" uniqueName="40" name="FuelLHV_kJkg" queryTableFieldId="40"/>
    <tableColumn id="41" xr3:uid="{44FD3FEC-B8B2-451D-81B5-20FEF1E72F01}" uniqueName="41" name="HC_ratio2" queryTableFieldId="41"/>
    <tableColumn id="42" xr3:uid="{6FD29F58-189C-4C8F-ADCA-0AFA72878E85}" uniqueName="42" name="LHV_Btu_lbm" queryTableFieldId="42"/>
    <tableColumn id="92" xr3:uid="{0C7F6703-B4BB-4FCF-8008-BB3C452817E7}" uniqueName="92" name="HHV_BTU_SCF" queryTableFieldId="109"/>
    <tableColumn id="43" xr3:uid="{168A97A0-B411-4F8E-979A-985249FC3B83}" uniqueName="43" name="CF1_ExhaustPressure_mmH2O" queryTableFieldId="43"/>
    <tableColumn id="44" xr3:uid="{7C0576BB-EE2C-405D-A0CA-4D29CD399725}" uniqueName="44" name="CF2_OutputRatio" queryTableFieldId="44"/>
    <tableColumn id="45" xr3:uid="{EDF791C7-CCD9-4A50-9859-07C7FA4E5393}" uniqueName="45" name="CF3_HeatRateRatio" queryTableFieldId="45"/>
    <tableColumn id="46" xr3:uid="{705B0D68-D179-4AC9-B176-EB280EBA6A13}" uniqueName="46" name="CF4_ExhaustFlowRatio" queryTableFieldId="46"/>
    <tableColumn id="47" xr3:uid="{37EAF5D8-D28A-4CCF-9897-B1A549DCED5F}" uniqueName="47" name="CF5_ExhaustTempDiff_degC" queryTableFieldId="47"/>
    <tableColumn id="48" xr3:uid="{2B00F608-4A7A-4103-9F96-0D9767FABCD2}" uniqueName="48" name="CF6_OutputRatio" queryTableFieldId="48"/>
    <tableColumn id="49" xr3:uid="{AB0110FB-0BF3-48E9-B4CD-3487DEEF50C9}" uniqueName="49" name="CF7_HeatRateRatio" queryTableFieldId="49"/>
    <tableColumn id="50" xr3:uid="{3414A055-8D0C-4BEF-8802-0B21031FA9CD}" uniqueName="50" name="CF8_ExhaustFlowRatio" queryTableFieldId="50"/>
    <tableColumn id="51" xr3:uid="{8BBD13DD-B34D-43F5-A1D9-EC049420118C}" uniqueName="51" name="CF9_ExhaustTempDiff_degC" queryTableFieldId="51"/>
    <tableColumn id="52" xr3:uid="{C9E42670-BB67-4084-A534-6C2FFCCFB36A}" uniqueName="52" name="CF10_OutputRatio" queryTableFieldId="52"/>
    <tableColumn id="53" xr3:uid="{A5EC74E8-2BC7-4EC9-B024-0A3B4FDBA518}" uniqueName="53" name="CF11_HeatRateRatio" queryTableFieldId="53"/>
    <tableColumn id="54" xr3:uid="{D05A8923-E53C-49AC-8028-CB8AD75A2E45}" uniqueName="54" name="CF12_ExhaustFlowRatio" queryTableFieldId="54"/>
    <tableColumn id="55" xr3:uid="{73EEAC31-66B1-4087-B4BA-9B5E8E266861}" uniqueName="55" name="CF13_ExhaustTempDiff_degC" queryTableFieldId="55"/>
    <tableColumn id="56" xr3:uid="{DF3E628B-5AB0-4524-B694-B7A38F94E3C8}" uniqueName="56" name="CF14_OutputRatio" queryTableFieldId="56"/>
    <tableColumn id="57" xr3:uid="{2F321328-BD02-4C53-BBAC-7CC0C4861C03}" uniqueName="57" name="CF15_HeatRateRatio" queryTableFieldId="57"/>
    <tableColumn id="58" xr3:uid="{1B17A419-EBCD-4879-AAE9-0C85BC25E373}" uniqueName="58" name="CF16_OutputRatio" queryTableFieldId="58"/>
    <tableColumn id="59" xr3:uid="{6DB33844-07AB-4DBE-9EFB-A70F4997D73F}" uniqueName="59" name="CF17_HeatRateRatio" queryTableFieldId="59"/>
    <tableColumn id="60" xr3:uid="{6B3BCCDF-3D3A-48F1-9ACF-8EEDFBF43687}" uniqueName="60" name="CF18_ExhaustFlowRatio" queryTableFieldId="60"/>
    <tableColumn id="61" xr3:uid="{E5264A3D-0021-4030-BD2F-0563435DFE9F}" uniqueName="61" name="CF19_ExhaustTempDiff_degC" queryTableFieldId="61"/>
    <tableColumn id="62" xr3:uid="{16FDEDB4-3304-48D4-86DD-D9E00567C732}" uniqueName="62" name="CF20_OutputRatio" queryTableFieldId="62"/>
    <tableColumn id="63" xr3:uid="{6D5C7F18-27FE-46C6-BA36-212112F3E473}" uniqueName="63" name="CF21_HeatRateRatio" queryTableFieldId="63"/>
    <tableColumn id="64" xr3:uid="{97F3BAC3-4D6C-4FDB-9AC2-646A4FF3A264}" uniqueName="64" name="CF22_ExhaustTempDiff_degC" queryTableFieldId="64"/>
    <tableColumn id="65" xr3:uid="{15F758CB-6037-4438-A07E-710DA7DA9736}" uniqueName="65" name="CF23_OutputRatio" queryTableFieldId="65"/>
    <tableColumn id="87" xr3:uid="{9111440C-F958-4188-882D-25B18ABF6BE0}" uniqueName="87" name="MeasuredHeatRate_BTU" queryTableFieldId="99"/>
    <tableColumn id="88" xr3:uid="{6AE843DD-2FA8-4323-B1C8-BB1E88D1FFE5}" uniqueName="88" name="CorrectedHeatRate_BTU" queryTableFieldId="100"/>
    <tableColumn id="66" xr3:uid="{C7A308F1-D132-46F9-81F1-DF75F1DC67C3}" uniqueName="66" name="CF24_HeatRateRatio" queryTableFieldId="66"/>
    <tableColumn id="67" xr3:uid="{C89BB987-625E-404E-9CA6-40F324B04624}" uniqueName="67" name="CF25_ExhaustTempDiff_degC" queryTableFieldId="67"/>
    <tableColumn id="68" xr3:uid="{45A7B84D-84D8-47F1-B5E7-0AFC7908D5D3}" uniqueName="68" name="CF26_OutputRatio" queryTableFieldId="68"/>
    <tableColumn id="69" xr3:uid="{2B9FEE55-350F-4814-AFA0-3795720CBE53}" uniqueName="69" name="CF27_HeatRateRatio" queryTableFieldId="69"/>
    <tableColumn id="70" xr3:uid="{55D1725B-873A-478F-91D8-9FFBCC2697EC}" uniqueName="70" name="CF28_ExhaustFlowRatio" queryTableFieldId="70"/>
    <tableColumn id="71" xr3:uid="{BB32844C-72CD-435C-886C-A13C7F3B7093}" uniqueName="71" name="CF29_ExhaustTempDiff_degC" queryTableFieldId="71"/>
    <tableColumn id="72" xr3:uid="{BE591E97-DA19-41F6-A5D7-A70E0E1DBF57}" uniqueName="72" name="CF30_OutputRatio" queryTableFieldId="72"/>
    <tableColumn id="73" xr3:uid="{C19CF88F-6642-4B1A-8D4E-69CB816CF462}" uniqueName="73" name="CF31_HeatRateRatio" queryTableFieldId="73"/>
    <tableColumn id="74" xr3:uid="{C585D9B7-FFDC-4F15-B245-75F6F6DBF47A}" uniqueName="74" name="CF32_ExhaustFlowRatio" queryTableFieldId="74"/>
    <tableColumn id="75" xr3:uid="{90AF4FE0-CA24-4D41-B46B-3808B17D8EBA}" uniqueName="75" name="CF33_ExhaustTempDiff_degC" queryTableFieldId="75"/>
    <tableColumn id="76" xr3:uid="{8DFCE309-780D-4FCC-BC72-319297097B2E}" uniqueName="76" name="Calc_CorrectedOutput_MW" queryTableFieldId="76"/>
    <tableColumn id="95" xr3:uid="{74DEEE7B-C79E-4991-8A33-A5708D61630C}" uniqueName="95" name="Calc_GTHeatRate_BTU_kWh" queryTableFieldId="117"/>
    <tableColumn id="96" xr3:uid="{AE3901F9-3246-4D1E-B0BC-841ADC5DE57C}" uniqueName="96" name="Calc_CorrectedHeatRate_BTU_kWh" queryTableFieldId="118"/>
    <tableColumn id="77" xr3:uid="{E9185B9B-83E6-4E54-B770-7720165A7D80}" uniqueName="77" name="MW_CIT" queryTableFieldId="185"/>
    <tableColumn id="90" xr3:uid="{80607D5F-44C8-4CA6-977F-7766DAE40367}" uniqueName="90" name="MW_RH" queryTableFieldId="186"/>
    <tableColumn id="91" xr3:uid="{46E094B1-40E7-4078-A5DC-7A3C6543090D}" uniqueName="91" name="MW_SS" queryTableFieldId="187"/>
    <tableColumn id="97" xr3:uid="{4D92B88B-3798-43FF-87A4-7FA388B26ADF}" uniqueName="97" name="MW_FuelTemp" queryTableFieldId="188"/>
    <tableColumn id="98" xr3:uid="{0014F2A0-8C89-4C0B-BB13-036CE2CCDE87}" uniqueName="98" name="MW_InletDP" queryTableFieldId="189"/>
    <tableColumn id="99" xr3:uid="{9F66EB45-3ACC-448A-957F-4E5766DE40F6}" uniqueName="99" name="MW_ExhPress" queryTableFieldId="190"/>
    <tableColumn id="100" xr3:uid="{9D410BEA-2FF4-480F-B14C-8C3980903BF0}" uniqueName="100" name="MW_ExhDP" queryTableFieldId="191"/>
    <tableColumn id="101" xr3:uid="{19CC48F0-CCC3-4619-B907-A8DA012B2D5F}" uniqueName="101" name="MW_BaroPress" queryTableFieldId="192"/>
    <tableColumn id="102" xr3:uid="{14877774-D80C-4515-8DBF-3471840D33B4}" uniqueName="102" name="MW_FuelComp" queryTableFieldId="193"/>
    <tableColumn id="103" xr3:uid="{145AEA57-894B-4C64-AE76-AA3E3C68A67A}" uniqueName="103" name="HR_CIT" queryTableFieldId="194"/>
    <tableColumn id="104" xr3:uid="{07A734FF-7CA6-4AB2-8C42-D2611B5F0E41}" uniqueName="104" name="HR_RH" queryTableFieldId="195"/>
    <tableColumn id="105" xr3:uid="{7F133707-8B68-4C84-B7F0-0C9A7CFAE79B}" uniqueName="105" name="HR_SS" queryTableFieldId="196"/>
    <tableColumn id="106" xr3:uid="{FC12337A-EB82-4B7B-9818-5DEDB14C1CAF}" uniqueName="106" name="HR_FuelTemp" queryTableFieldId="197"/>
    <tableColumn id="107" xr3:uid="{C668EA5C-B640-4C2C-9821-E8BA4C73F61E}" uniqueName="107" name="HR_InletDP" queryTableFieldId="198"/>
    <tableColumn id="108" xr3:uid="{CE0C7470-5C6C-45E1-8847-1AF978839CA9}" uniqueName="108" name="HR_ExhPress" queryTableFieldId="199"/>
    <tableColumn id="109" xr3:uid="{40ADC829-A52D-44C2-9BFF-6EA4E0419E3B}" uniqueName="109" name="HR_ExhDP" queryTableFieldId="200"/>
    <tableColumn id="110" xr3:uid="{F7351CE2-89F4-4AFD-B066-0FB693A805E5}" uniqueName="110" name="HR_BaroPress" queryTableFieldId="201"/>
    <tableColumn id="111" xr3:uid="{A50A1328-726D-4F71-B32B-003ADEE25968}" uniqueName="111" name="HR_FuelComp" queryTableFieldId="202"/>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D787742-AEDA-451C-8796-9608977B3D74}" name="GT1C_Performance" displayName="GT1C_Performance" ref="A1:DG12" tableType="queryTable" totalsRowShown="0">
  <tableColumns count="111">
    <tableColumn id="1" xr3:uid="{0D08228D-7B8D-4D7E-826F-1C04291D1DC1}" uniqueName="1" name="Date Only" queryTableFieldId="1" dataDxfId="42"/>
    <tableColumn id="2" xr3:uid="{61BA92E4-A020-4A6C-A558-CF6C185F32BF}" uniqueName="2" name="Hour" queryTableFieldId="2"/>
    <tableColumn id="3" xr3:uid="{EF9D4108-3705-400F-95DF-8F2915DE7308}" uniqueName="3" name="Time Stamp" queryTableFieldId="3" dataDxfId="41"/>
    <tableColumn id="4" xr3:uid="{7A849DDD-7BA4-443D-B8FC-2FA7B777F44F}" uniqueName="4" name="GT_Unit" queryTableFieldId="4"/>
    <tableColumn id="5" xr3:uid="{786875CB-F554-4914-BB74-AB867A2A0E79}" uniqueName="5" name="GT1C_Gen_MW" queryTableFieldId="5"/>
    <tableColumn id="6" xr3:uid="{8502044B-1DF4-4530-80B5-B823A4D36B9E}" uniqueName="6" name="FuelFlow_kg_s" queryTableFieldId="6"/>
    <tableColumn id="7" xr3:uid="{BF138865-8A1B-47AD-BF5B-155017ABDC7C}" uniqueName="7" name="MMBTU_hr" queryTableFieldId="7"/>
    <tableColumn id="8" xr3:uid="{9C6A7F8B-7B37-4C13-8704-6B6858942A3A}" uniqueName="8" name="MeasuredOutput_MW" queryTableFieldId="8"/>
    <tableColumn id="9" xr3:uid="{312CB6E7-CD1C-40E5-A73A-2720D14EC412}" uniqueName="9" name="GT1C_Fuel_Flow" queryTableFieldId="9"/>
    <tableColumn id="10" xr3:uid="{FDEEBECB-DC53-4D85-BCE7-B72AEA20AF47}" uniqueName="10" name="CorrectedOutput_MW" queryTableFieldId="10"/>
    <tableColumn id="11" xr3:uid="{89741FB4-6A99-46E2-981E-19D3537986B1}" uniqueName="11" name="MeasuredHeatRate" queryTableFieldId="11"/>
    <tableColumn id="12" xr3:uid="{3D88C21C-4125-4CF6-9175-22ECFA1C1611}" uniqueName="12" name="CorrectedHeatRate" queryTableFieldId="12"/>
    <tableColumn id="93" xr3:uid="{C2DE25B8-395B-4EF7-8F94-B945002962E4}" uniqueName="93" name="GTHeatRate_BTU_kWh" queryTableFieldId="115"/>
    <tableColumn id="94" xr3:uid="{4EF018B8-3D54-41A3-9CE3-1814EA5EE15E}" uniqueName="94" name="CorrectedHeatRate_BTU_kWh" queryTableFieldId="116"/>
    <tableColumn id="78" xr3:uid="{93348CFF-647F-493E-95FA-66BFC9566CE2}" uniqueName="78" name="CorrectedExhaustTemp" queryTableFieldId="78"/>
    <tableColumn id="16" xr3:uid="{47338AD8-5749-4EA2-9176-5656A4E850A2}" uniqueName="16" name="GT1C_Fuel_Temp" queryTableFieldId="16"/>
    <tableColumn id="79" xr3:uid="{C4B8F98A-35EF-4608-934D-697DE9BBE692}" uniqueName="79" name="CorrectedExhaustFlow" queryTableFieldId="79"/>
    <tableColumn id="80" xr3:uid="{5152D1CE-E89E-4857-AEE3-831D30C90248}" uniqueName="80" name="CorrectedEfficiency" queryTableFieldId="80" dataDxfId="40" dataCellStyle="Percent"/>
    <tableColumn id="13" xr3:uid="{2FACFCA9-4E66-44FC-952E-4D068F8AE595}" uniqueName="13" name="Combined_OutputCF" queryTableFieldId="13" dataDxfId="39" dataCellStyle="Percent"/>
    <tableColumn id="19" xr3:uid="{687593AA-81F9-45F4-A18E-8B9BB39B3971}" uniqueName="19" name="HC_Ratio" queryTableFieldId="19"/>
    <tableColumn id="14" xr3:uid="{ACF1095D-61E0-47A3-84FE-C01B0F100878}" uniqueName="14" name="Combined_HRCF" queryTableFieldId="14"/>
    <tableColumn id="81" xr3:uid="{5513DFED-CE89-45D5-BDF2-EAF323BF5864}" uniqueName="81" name="Combined_ExhFlowCF" queryTableFieldId="81"/>
    <tableColumn id="82" xr3:uid="{D878D230-7705-42AD-B708-05C017E20265}" uniqueName="82" name="MeasuredExhaustTemp" queryTableFieldId="82"/>
    <tableColumn id="83" xr3:uid="{D1CEA931-D3D2-4D63-8066-2DF530E70484}" uniqueName="83" name="MeasuredExhaustFlow" queryTableFieldId="83"/>
    <tableColumn id="15" xr3:uid="{4EF29606-5C48-458C-93A8-323C95B3CB3D}" uniqueName="15" name="GT1C_Comp_Inlet_Temp" queryTableFieldId="15"/>
    <tableColumn id="17" xr3:uid="{D8ABA5B3-207B-4D26-99BD-5D750FBBF86F}" uniqueName="17" name="GT1C_Turb_Exh_Temp" queryTableFieldId="17"/>
    <tableColumn id="18" xr3:uid="{796E1C4F-5895-4687-8EAE-74EE73406023}" uniqueName="18" name="GT1C_Comp_Disch_Temp" queryTableFieldId="18"/>
    <tableColumn id="20" xr3:uid="{40317ADB-CC50-49A3-BA69-0168986283D4}" uniqueName="20" name="GT1C_Comp_Disch_Press" queryTableFieldId="20"/>
    <tableColumn id="84" xr3:uid="{8B6F6E0C-E410-4BF8-86A8-651E661A6598}" uniqueName="84" name="Compressor_PR" queryTableFieldId="92"/>
    <tableColumn id="85" xr3:uid="{2564D5AE-9486-4D2D-A972-106208E35982}" uniqueName="85" name="Compressor_Efficiency" queryTableFieldId="93"/>
    <tableColumn id="21" xr3:uid="{704A4193-17CB-466A-895C-B28C5FF46DDE}" uniqueName="21" name="GT1C_IGV_Position" queryTableFieldId="21"/>
    <tableColumn id="22" xr3:uid="{84E91768-D2BE-466A-8F02-09CA92AA6D93}" uniqueName="22" name="Calculated_WB_Temp" queryTableFieldId="22"/>
    <tableColumn id="23" xr3:uid="{8C7E2F80-7100-437E-B550-605785D00C40}" uniqueName="23" name="H2_Bldg_WB_Temp" queryTableFieldId="23"/>
    <tableColumn id="24" xr3:uid="{38799871-13D8-46FC-923D-CDEFC72F08E9}" uniqueName="24" name="EvapCooler_Eff_Calc_WB" queryTableFieldId="24"/>
    <tableColumn id="25" xr3:uid="{D657B1FB-8D79-460A-B439-BDAEA7BA6051}" uniqueName="25" name="EvapCooler_Eff_H2_Bldg_WB" queryTableFieldId="25"/>
    <tableColumn id="26" xr3:uid="{C5CAA3A3-11B8-4DE6-8715-F12426675B95}" uniqueName="26" name="Cooler_Status" queryTableFieldId="26"/>
    <tableColumn id="86" xr3:uid="{45C8D975-11A1-4955-AB2D-2A791E9B516E}" uniqueName="86" name="GT1C_OFWW" queryTableFieldId="96"/>
    <tableColumn id="27" xr3:uid="{5BA7A6B7-17F7-4FA0-B35E-6AE66DB29A3E}" uniqueName="27" name="Ambient_Temp_DB" queryTableFieldId="27"/>
    <tableColumn id="28" xr3:uid="{4A64B851-81C3-431C-A71A-E096F53280A6}" uniqueName="28" name="Rel_Humidity" queryTableFieldId="28"/>
    <tableColumn id="29" xr3:uid="{98532D19-F62D-403F-8026-A24ED02F14D1}" uniqueName="29" name="Ambient_Press" queryTableFieldId="29"/>
    <tableColumn id="30" xr3:uid="{5111913A-E3A1-4CD5-B3F4-6788A9D3F60F}" uniqueName="30" name="CIT_degC" queryTableFieldId="30"/>
    <tableColumn id="31" xr3:uid="{3A902BC9-EEDD-4216-B52E-09441AB1D218}" uniqueName="31" name="RH_pct" queryTableFieldId="31"/>
    <tableColumn id="89" xr3:uid="{D940F48C-0CC7-4081-95AF-2142FAC26A7C}" uniqueName="89" name="RH_at_CIT" queryTableFieldId="101"/>
    <tableColumn id="32" xr3:uid="{55E88BEF-9479-4CD3-9AE9-2E93F5E63DBF}" uniqueName="32" name="ShaftSpeedRatio" queryTableFieldId="32"/>
    <tableColumn id="33" xr3:uid="{E9DE0F66-C8F3-40A9-AFFA-C7FB3651EC79}" uniqueName="33" name="GT1C_Turbine_Speed" queryTableFieldId="33"/>
    <tableColumn id="34" xr3:uid="{C0A97DD4-D337-4508-84B5-6AF5125C55DE}" uniqueName="34" name="FuelTemp_degC" queryTableFieldId="34"/>
    <tableColumn id="35" xr3:uid="{3770C280-1FA6-4EE8-BCCA-4C03B7F47C82}" uniqueName="35" name="GT1C_Diff_Press" queryTableFieldId="35"/>
    <tableColumn id="36" xr3:uid="{C2ED7C80-2FBA-4F96-8AD7-5F5F3F948F3F}" uniqueName="36" name="InletDP_mmH2O" queryTableFieldId="36"/>
    <tableColumn id="37" xr3:uid="{54DF11D4-503A-4BFE-9617-2466074712BD}" uniqueName="37" name="DeltaExhDP_mmH2O" queryTableFieldId="37"/>
    <tableColumn id="38" xr3:uid="{00FB8A95-58A3-444F-BC17-2367DBC8E389}" uniqueName="38" name="ExhaustDP_mmH2O" queryTableFieldId="38"/>
    <tableColumn id="39" xr3:uid="{9A27241E-9EFE-47C9-A79E-B207F985A1A5}" uniqueName="39" name="BaroPressure_mbara" queryTableFieldId="39"/>
    <tableColumn id="40" xr3:uid="{78952E3D-D496-4AFE-9BA1-89744296C86D}" uniqueName="40" name="FuelLHV_kJkg" queryTableFieldId="40"/>
    <tableColumn id="41" xr3:uid="{27126E38-760E-4802-8FD9-E25CB0171493}" uniqueName="41" name="HC_ratio2" queryTableFieldId="41"/>
    <tableColumn id="42" xr3:uid="{78D71BAE-5B34-4A7E-99ED-E58E5B09A1F1}" uniqueName="42" name="LHV_Btu_lbm" queryTableFieldId="42"/>
    <tableColumn id="92" xr3:uid="{4FA823DA-2C24-4D00-BDD9-DEAE013667F7}" uniqueName="92" name="HHV_BTU_SCF" queryTableFieldId="109"/>
    <tableColumn id="43" xr3:uid="{64AD8AFB-81CA-446A-92C8-584ACA8828BE}" uniqueName="43" name="CF1_ExhaustPressure_mmH2O" queryTableFieldId="43"/>
    <tableColumn id="44" xr3:uid="{6BD6BB82-7308-4D30-884C-5D12330266AA}" uniqueName="44" name="CF2_OutputRatio" queryTableFieldId="44"/>
    <tableColumn id="45" xr3:uid="{DC39D082-D3E9-4735-90D6-9C732C898AA6}" uniqueName="45" name="CF3_HeatRateRatio" queryTableFieldId="45"/>
    <tableColumn id="46" xr3:uid="{437E9562-C51C-4791-BF9E-C93F169B3D37}" uniqueName="46" name="CF4_ExhaustFlowRatio" queryTableFieldId="46"/>
    <tableColumn id="47" xr3:uid="{42C37F51-F7C8-4CE6-B2AA-63A3E72C3258}" uniqueName="47" name="CF5_ExhaustTempDiff_degC" queryTableFieldId="47"/>
    <tableColumn id="48" xr3:uid="{7083F89C-3A78-4846-AC60-676B46769049}" uniqueName="48" name="CF6_OutputRatio" queryTableFieldId="48"/>
    <tableColumn id="49" xr3:uid="{725DD15F-7FE6-4300-BCA0-91909188642E}" uniqueName="49" name="CF7_HeatRateRatio" queryTableFieldId="49"/>
    <tableColumn id="50" xr3:uid="{F49C4460-7AA7-49C3-868D-FA29D6620CCC}" uniqueName="50" name="CF8_ExhaustFlowRatio" queryTableFieldId="50"/>
    <tableColumn id="51" xr3:uid="{B61F8CA1-F241-4B89-B95B-8FE4590CFADC}" uniqueName="51" name="CF9_ExhaustTempDiff_degC" queryTableFieldId="51"/>
    <tableColumn id="52" xr3:uid="{EBCA9C36-3231-4A6F-A7D2-9A9366BA8469}" uniqueName="52" name="CF10_OutputRatio" queryTableFieldId="52"/>
    <tableColumn id="53" xr3:uid="{C55CC9E7-B26B-49DC-B58C-91838D1E790F}" uniqueName="53" name="CF11_HeatRateRatio" queryTableFieldId="53"/>
    <tableColumn id="54" xr3:uid="{51744A9D-D508-433B-8974-F5A2D8102829}" uniqueName="54" name="CF12_ExhaustFlowRatio" queryTableFieldId="54"/>
    <tableColumn id="55" xr3:uid="{1B91DC8D-EFC3-420A-9F4C-ABA460BAD9FF}" uniqueName="55" name="CF13_ExhaustTempDiff_degC" queryTableFieldId="55"/>
    <tableColumn id="56" xr3:uid="{BF2E94F0-AE07-4C6E-8D24-1757F4A755EB}" uniqueName="56" name="CF14_OutputRatio" queryTableFieldId="56"/>
    <tableColumn id="57" xr3:uid="{E55AF5E9-1F36-493D-89C0-6BD2C7396E5B}" uniqueName="57" name="CF15_HeatRateRatio" queryTableFieldId="57"/>
    <tableColumn id="58" xr3:uid="{BA1F8761-A371-4D9C-A3D6-DE8AAF97142D}" uniqueName="58" name="CF16_OutputRatio" queryTableFieldId="58"/>
    <tableColumn id="59" xr3:uid="{1E4C336F-A710-44A7-8E24-BC514D47DF22}" uniqueName="59" name="CF17_HeatRateRatio" queryTableFieldId="59"/>
    <tableColumn id="60" xr3:uid="{C5B9775A-AF01-42A6-835D-F9811F0BECDF}" uniqueName="60" name="CF18_ExhaustFlowRatio" queryTableFieldId="60"/>
    <tableColumn id="61" xr3:uid="{C7FDDE8C-0EF5-412A-B0A0-7BFD97FB7721}" uniqueName="61" name="CF19_ExhaustTempDiff_degC" queryTableFieldId="61"/>
    <tableColumn id="62" xr3:uid="{805432DC-AB7C-4404-A331-DE83049D922E}" uniqueName="62" name="CF20_OutputRatio" queryTableFieldId="62"/>
    <tableColumn id="63" xr3:uid="{3F8A695C-F3C6-4217-A779-D3CF1B98A02A}" uniqueName="63" name="CF21_HeatRateRatio" queryTableFieldId="63"/>
    <tableColumn id="64" xr3:uid="{39C78986-64F3-429F-A0F4-9A0045429BA8}" uniqueName="64" name="CF22_ExhaustTempDiff_degC" queryTableFieldId="64"/>
    <tableColumn id="65" xr3:uid="{4CC28E7B-EF32-41B8-A9AC-14980FC567FF}" uniqueName="65" name="CF23_OutputRatio" queryTableFieldId="65"/>
    <tableColumn id="87" xr3:uid="{2659B3FD-482F-4981-B99B-233884BA3A96}" uniqueName="87" name="MeasuredHeatRate_BTU" queryTableFieldId="99"/>
    <tableColumn id="88" xr3:uid="{0521FBF1-CA44-4279-99AE-BDC172229A82}" uniqueName="88" name="CorrectedHeatRate_BTU" queryTableFieldId="100"/>
    <tableColumn id="66" xr3:uid="{5B6EDEC4-51B7-46CD-9C10-7DB53F7AB4B2}" uniqueName="66" name="CF24_HeatRateRatio" queryTableFieldId="66"/>
    <tableColumn id="67" xr3:uid="{ABD48C0A-0134-43E4-AC0F-E7FAB0C4DD86}" uniqueName="67" name="CF25_ExhaustTempDiff_degC" queryTableFieldId="67"/>
    <tableColumn id="68" xr3:uid="{19B7E08F-FAD0-4294-9702-A16384534653}" uniqueName="68" name="CF26_OutputRatio" queryTableFieldId="68"/>
    <tableColumn id="69" xr3:uid="{AC7D8E55-18A7-48ED-BE64-07AC67138CF8}" uniqueName="69" name="CF27_HeatRateRatio" queryTableFieldId="69"/>
    <tableColumn id="70" xr3:uid="{94FA1FCF-41EC-4EBE-A23E-B212C39A28E8}" uniqueName="70" name="CF28_ExhaustFlowRatio" queryTableFieldId="70"/>
    <tableColumn id="71" xr3:uid="{24F910B3-469F-467F-AE66-2A7466D4B313}" uniqueName="71" name="CF29_ExhaustTempDiff_degC" queryTableFieldId="71"/>
    <tableColumn id="72" xr3:uid="{C3348671-E79D-44F5-A45F-C9DC4D9C2149}" uniqueName="72" name="CF30_OutputRatio" queryTableFieldId="72"/>
    <tableColumn id="73" xr3:uid="{CBBAB957-2296-4647-A807-C4620F2D78E0}" uniqueName="73" name="CF31_HeatRateRatio" queryTableFieldId="73"/>
    <tableColumn id="74" xr3:uid="{51839D0A-EEF8-4556-825F-5BEFAC5B5276}" uniqueName="74" name="CF32_ExhaustFlowRatio" queryTableFieldId="74"/>
    <tableColumn id="75" xr3:uid="{C337AD87-49BC-4F6C-B14C-8A7E6FBBEE5D}" uniqueName="75" name="CF33_ExhaustTempDiff_degC" queryTableFieldId="75"/>
    <tableColumn id="76" xr3:uid="{61316A0E-721E-4580-9CB6-8C31BE96EE6A}" uniqueName="76" name="Calc_CorrectedOutput_MW" queryTableFieldId="76"/>
    <tableColumn id="95" xr3:uid="{C50697EE-6D9A-45D4-864D-F0D12DFA608C}" uniqueName="95" name="Calc_GTHeatRate_BTU_kWh" queryTableFieldId="117"/>
    <tableColumn id="96" xr3:uid="{E5E842B6-9D50-41D9-B3AA-9414879FFFF8}" uniqueName="96" name="Calc_CorrectedHeatRate_BTU_kWh" queryTableFieldId="118"/>
    <tableColumn id="77" xr3:uid="{39E56D1B-B6DC-4AA7-A074-EE6C2D6F2E32}" uniqueName="77" name="MW_CIT" queryTableFieldId="185"/>
    <tableColumn id="90" xr3:uid="{70E2FE88-FE96-422F-A397-C5231E302823}" uniqueName="90" name="MW_RH" queryTableFieldId="186"/>
    <tableColumn id="91" xr3:uid="{A0259614-D2BA-41EF-8B5F-E4A5E9048EA1}" uniqueName="91" name="MW_SS" queryTableFieldId="187"/>
    <tableColumn id="97" xr3:uid="{FE5C8C43-97DF-4A9C-954E-F6F47BD70D96}" uniqueName="97" name="MW_FuelTemp" queryTableFieldId="188"/>
    <tableColumn id="98" xr3:uid="{85775903-3EA7-4552-BCF0-33C883624D2C}" uniqueName="98" name="MW_InletDP" queryTableFieldId="189"/>
    <tableColumn id="99" xr3:uid="{8FE2701D-5A5C-448E-999B-805C052CEACE}" uniqueName="99" name="MW_ExhPress" queryTableFieldId="190"/>
    <tableColumn id="100" xr3:uid="{013609F1-207B-463C-AFDE-FE8BB920E029}" uniqueName="100" name="MW_ExhDP" queryTableFieldId="191"/>
    <tableColumn id="101" xr3:uid="{38C9EE66-E7BA-4FB3-9332-4C12C2D0CE5E}" uniqueName="101" name="MW_BaroPress" queryTableFieldId="192"/>
    <tableColumn id="102" xr3:uid="{C2B4C4BE-2FDF-4C56-810C-C58AEA75F42D}" uniqueName="102" name="MW_FuelComp" queryTableFieldId="193"/>
    <tableColumn id="103" xr3:uid="{B72D867F-DB59-480E-878D-73A19C436DE6}" uniqueName="103" name="HR_CIT" queryTableFieldId="194"/>
    <tableColumn id="104" xr3:uid="{CB9B2C39-73D6-43B6-84F7-3C4977BD664C}" uniqueName="104" name="HR_RH" queryTableFieldId="195"/>
    <tableColumn id="105" xr3:uid="{6AC2F046-646F-4F13-A317-D10569BD9E72}" uniqueName="105" name="HR_SS" queryTableFieldId="196"/>
    <tableColumn id="106" xr3:uid="{AFF95B9A-0F79-4559-ABA7-E3E422187237}" uniqueName="106" name="HR_FuelTemp" queryTableFieldId="197"/>
    <tableColumn id="107" xr3:uid="{D8DE8171-BBCB-449B-8E7A-B987B7F21DB0}" uniqueName="107" name="HR_InletDP" queryTableFieldId="198"/>
    <tableColumn id="108" xr3:uid="{5F7E2028-AC2D-4300-A955-BE1EFB7B14A1}" uniqueName="108" name="HR_ExhPress" queryTableFieldId="199"/>
    <tableColumn id="109" xr3:uid="{C23F3F1D-BB1C-47AC-8474-02824A97289A}" uniqueName="109" name="HR_ExhDP" queryTableFieldId="200"/>
    <tableColumn id="110" xr3:uid="{821C223F-6D58-408E-A120-91BA90F7BBC9}" uniqueName="110" name="HR_BaroPress" queryTableFieldId="201"/>
    <tableColumn id="111" xr3:uid="{ABB830B1-34C5-447E-8695-7354B85D5EC8}" uniqueName="111" name="HR_FuelComp" queryTableFieldId="20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F8B264A-F4CC-4F46-B5E9-3EDDBF2849F2}" name="GT_Combined_Summary" displayName="GT_Combined_Summary" ref="A2:AR46" tableType="queryTable" totalsRowShown="0" headerRowDxfId="67" dataDxfId="66">
  <autoFilter ref="A2:AR46" xr:uid="{9F8B264A-F4CC-4F46-B5E9-3EDDBF2849F2}">
    <filterColumn colId="3">
      <filters>
        <filter val="21"/>
        <filter val="22"/>
        <filter val="23"/>
        <filter val="24"/>
      </filters>
    </filterColumn>
    <filterColumn colId="8">
      <filters>
        <filter val="GT1A"/>
        <filter val="GT1B"/>
        <filter val="GT1C"/>
      </filters>
    </filterColumn>
  </autoFilter>
  <tableColumns count="44">
    <tableColumn id="1" xr3:uid="{695F410C-13AC-4597-91BB-3ACD6B50CCF1}" uniqueName="1" name="Month" queryTableFieldId="1" dataDxfId="23"/>
    <tableColumn id="2" xr3:uid="{5DED8CFD-1D09-47D0-BC4D-5A976601D792}" uniqueName="2" name="Time Stamp" queryTableFieldId="2" dataDxfId="22"/>
    <tableColumn id="3" xr3:uid="{3C47FC9C-D5C2-42D3-A8A2-E7B1CC62D126}" uniqueName="3" name="Date" queryTableFieldId="3" dataDxfId="21"/>
    <tableColumn id="4" xr3:uid="{F877C1A6-2032-447E-85F7-477BD50831EC}" uniqueName="4" name="Hour" queryTableFieldId="4" dataDxfId="20"/>
    <tableColumn id="5" xr3:uid="{7E99A70B-2AFD-41EA-B324-99F3320FA51D}" uniqueName="5" name="Ambient Temp DB (°C)" queryTableFieldId="5" dataDxfId="19"/>
    <tableColumn id="6" xr3:uid="{2225A9EA-DDA9-4D79-A274-D17F24148E4F}" uniqueName="6" name="Rel Humidity (%)" queryTableFieldId="6" dataDxfId="18"/>
    <tableColumn id="7" xr3:uid="{559DB62C-BDE7-4E9C-9267-CC3EF3BE02A1}" uniqueName="7" name="Ambient Press (mbar)" queryTableFieldId="7" dataDxfId="17"/>
    <tableColumn id="8" xr3:uid="{3C925D06-BE08-4025-8887-618A31152579}" uniqueName="8" name="Calculated WB Temp (°C)" queryTableFieldId="8" dataDxfId="16"/>
    <tableColumn id="9" xr3:uid="{2A808E78-567A-4CB2-A1BC-D497327AE798}" uniqueName="9" name="Gas Turbine" queryTableFieldId="9" dataDxfId="15"/>
    <tableColumn id="10" xr3:uid="{6CD13066-1AB6-445E-B031-93C228DBAA12}" uniqueName="10" name="Comp Inlet Temp (°C)" queryTableFieldId="10" dataDxfId="14"/>
    <tableColumn id="25" xr3:uid="{9E580058-7742-497B-9989-CDE050E2B79D}" uniqueName="25" name="RH at Comp Inlet (%)" queryTableFieldId="27"/>
    <tableColumn id="11" xr3:uid="{B29098FE-D6FF-4CD8-A148-02DA1C9D99E5}" uniqueName="11" name="Evap Cooler Eff Calc WB" queryTableFieldId="11" dataDxfId="13"/>
    <tableColumn id="12" xr3:uid="{C78453CA-80CE-4421-B14E-4A354CED66DC}" uniqueName="12" name="Cooler Status" queryTableFieldId="12" dataDxfId="12"/>
    <tableColumn id="13" xr3:uid="{85E65B89-7A51-4A0F-81D9-60150C1744A8}" uniqueName="13" name="Turb Exh Temp (°C)" queryTableFieldId="13" dataDxfId="11"/>
    <tableColumn id="14" xr3:uid="{3426E31B-602E-4215-BE30-2F4B97C5A0B0}" uniqueName="14" name="MMBTU/hr" queryTableFieldId="14" dataDxfId="10"/>
    <tableColumn id="15" xr3:uid="{2E585452-1B40-4222-9AB3-0C3608C39797}" uniqueName="15" name="Gen MW" queryTableFieldId="15" dataDxfId="9"/>
    <tableColumn id="26" xr3:uid="{9893971F-8C1E-4B4D-885D-8DA287BE2B0B}" uniqueName="26" name="Heat Rate (BTU/kWh)" queryTableFieldId="28" dataDxfId="8"/>
    <tableColumn id="19" xr3:uid="{DA041759-9CFC-4776-A91B-D7F2EBCB6269}" uniqueName="19" name="GT Efficiency" queryTableFieldId="19" dataDxfId="7"/>
    <tableColumn id="17" xr3:uid="{1211A8D5-A081-4B0F-B8E5-B96631DBD745}" uniqueName="17" name="Corrected Output (MW)" queryTableFieldId="17" dataDxfId="6"/>
    <tableColumn id="27" xr3:uid="{120B60CA-1B07-4759-A3B9-643DF522C1F0}" uniqueName="27" name="Corrected Heat Rate (BTU/kWh)" queryTableFieldId="29" dataDxfId="5"/>
    <tableColumn id="16" xr3:uid="{9EDEE0EA-55BE-4138-B285-6E10329682E2}" uniqueName="16" name="Corrected GT Efficiency" queryTableFieldId="33" dataDxfId="4"/>
    <tableColumn id="22" xr3:uid="{4185C19C-6865-431D-87E7-4D9576C3771A}" uniqueName="22" name="Compressor PR" queryTableFieldId="22" dataDxfId="3"/>
    <tableColumn id="23" xr3:uid="{D2D54912-10D6-4621-96D4-84CD2B172D79}" uniqueName="23" name="Compressor Efficiency" queryTableFieldId="23" dataDxfId="2"/>
    <tableColumn id="20" xr3:uid="{62DB6F4B-70F2-462C-B19B-DF33FE258A59}" uniqueName="20" name="Corrected Exhaust Temp (°C)" queryTableFieldId="20" dataDxfId="1"/>
    <tableColumn id="21" xr3:uid="{6F0C04CA-840C-404C-97CE-5A17B03FFDE8}" uniqueName="21" name="Corrected Exhaust Flow (kg/s)" queryTableFieldId="21" dataDxfId="0"/>
    <tableColumn id="24" xr3:uid="{BA247E3D-A73E-495B-B95D-3C430DF6F659}" uniqueName="24" name="OFWW" queryTableFieldId="26"/>
    <tableColumn id="18" xr3:uid="{81CB351F-000E-4F4E-9B08-0C0934488A43}" uniqueName="18" name="MW Impact CIT" queryTableFieldId="36"/>
    <tableColumn id="28" xr3:uid="{B4FDE1A7-7BA3-4478-8317-F39258AD6189}" uniqueName="28" name="MW Impact RH" queryTableFieldId="37"/>
    <tableColumn id="29" xr3:uid="{02DD8037-F200-440D-A9E3-B4F098603268}" uniqueName="29" name="MW Impact SS" queryTableFieldId="38"/>
    <tableColumn id="30" xr3:uid="{BCA4C177-3126-4550-AB22-C9E71D65D18E}" uniqueName="30" name="MW Impact FuelTemp" queryTableFieldId="39"/>
    <tableColumn id="31" xr3:uid="{448D1E2B-B2B4-4642-A099-43D85D0990C8}" uniqueName="31" name="MW Impact InletDP" queryTableFieldId="40"/>
    <tableColumn id="32" xr3:uid="{24926584-12EA-4896-A329-7EBC3D811A87}" uniqueName="32" name="MW Impact ExhPress" queryTableFieldId="41"/>
    <tableColumn id="33" xr3:uid="{D655760E-CAC7-403B-9D16-11FFB62EB521}" uniqueName="33" name="MW Impact ExhDP" queryTableFieldId="42"/>
    <tableColumn id="34" xr3:uid="{EDF3CD7E-EFE9-4F19-9D6B-319C6F66C6DB}" uniqueName="34" name="MW Impact BaroPress" queryTableFieldId="43"/>
    <tableColumn id="35" xr3:uid="{C56488E4-80DC-4C8D-9809-236C648971C0}" uniqueName="35" name="MW Impact FuelComp" queryTableFieldId="44"/>
    <tableColumn id="36" xr3:uid="{3616BC1D-AB66-4600-9723-C6B72BD734AC}" uniqueName="36" name="HR Impact CIT (BTU/kWh)" queryTableFieldId="45"/>
    <tableColumn id="37" xr3:uid="{2C12643D-BCE5-42E9-9669-E394177EB524}" uniqueName="37" name="HR Impact RH (BTU/kWh)" queryTableFieldId="46"/>
    <tableColumn id="38" xr3:uid="{41694F7E-ACD4-4445-9C01-0D8BC24AD1D8}" uniqueName="38" name="HR Impact SS (BTU/kWh)" queryTableFieldId="47"/>
    <tableColumn id="39" xr3:uid="{3E2367EA-2ED1-4682-B925-0755F8D7BC01}" uniqueName="39" name="HR Impact FuelTemp (BTU/kWh)" queryTableFieldId="48"/>
    <tableColumn id="40" xr3:uid="{E6251237-FB51-4090-8812-C37198DB769D}" uniqueName="40" name="HR Impact InletDP (BTU/kWh)" queryTableFieldId="49"/>
    <tableColumn id="41" xr3:uid="{33606F8C-2F72-4736-B18D-4FC0FCE64363}" uniqueName="41" name="HR Impact ExhPress (BTU/kWh)" queryTableFieldId="50"/>
    <tableColumn id="42" xr3:uid="{8F04E010-41CE-49D1-8D0A-89B41CD043B7}" uniqueName="42" name="HR Impact ExhDP (BTU/kWh)" queryTableFieldId="51"/>
    <tableColumn id="43" xr3:uid="{FD20CC13-5CA4-4D32-B6D0-EF543857129D}" uniqueName="43" name="HR Impact BaroPress (BTU/kWh)" queryTableFieldId="52"/>
    <tableColumn id="44" xr3:uid="{B5D7B67C-E1FF-4805-88B1-03F97BFEEDD2}" uniqueName="44" name="HR Impact FuelComp (BTU/kWh)" queryTableFieldId="53"/>
  </tableColumns>
  <tableStyleInfo name="TableStyleLight9" showFirstColumn="0" showLastColumn="0" showRowStripes="0"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09852C0-1B21-4D64-84E1-C052D0B3E9D4}" name="Base_Data_2026" displayName="Base_Data_2026" ref="B2:EV13" tableType="queryTable" totalsRowShown="0">
  <tableColumns count="151">
    <tableColumn id="11" xr3:uid="{CD7AD377-EF7A-4268-A7AF-A7FE55898DAE}" uniqueName="11" name="Column1" queryTableFieldId="315"/>
    <tableColumn id="1" xr3:uid="{C718FDB4-C305-4A25-9C33-743409C699C5}" uniqueName="1" name="Date Only" queryTableFieldId="1" dataDxfId="65"/>
    <tableColumn id="2" xr3:uid="{201C20C8-E06B-40B6-8256-5EF0FB497754}" uniqueName="2" name="Hour" queryTableFieldId="2"/>
    <tableColumn id="3" xr3:uid="{0D3547EB-F868-4958-B2B8-56C32F66FDD1}" uniqueName="3" name="Time Stamp" queryTableFieldId="3" dataDxfId="64"/>
    <tableColumn id="155" xr3:uid="{BB62EDA3-189B-497C-BBDF-E191F504B0AF}" uniqueName="155" name="Ambient_Temp_DB" queryTableFieldId="155"/>
    <tableColumn id="156" xr3:uid="{AE2B2E8D-3EB0-4D1B-9296-C5281651CA6C}" uniqueName="156" name="Rel_Humidity" queryTableFieldId="156"/>
    <tableColumn id="157" xr3:uid="{222E939A-7988-4B99-A785-1342677A8964}" uniqueName="157" name="Ambient_Press" queryTableFieldId="157"/>
    <tableColumn id="158" xr3:uid="{21328C66-9D4F-4539-9EDA-03602A7D2915}" uniqueName="158" name="CT_Area_WB_Temp" queryTableFieldId="158"/>
    <tableColumn id="159" xr3:uid="{ADAE5EEE-07A9-4089-A209-3BF4DDD1939E}" uniqueName="159" name="H2_Bldg_WB_Temp" queryTableFieldId="159"/>
    <tableColumn id="160" xr3:uid="{6E9E8DCC-7258-49AA-AD3B-CDC60A3331CB}" uniqueName="160" name="GT1A_Comp_Inlet_Temp" queryTableFieldId="160"/>
    <tableColumn id="161" xr3:uid="{2F79D513-F4B8-4647-B9BE-DCC618D125D5}" uniqueName="161" name="GT1B_Comp_Inlet_Temp" queryTableFieldId="161"/>
    <tableColumn id="162" xr3:uid="{96DF800E-76F4-45FF-A7B3-567C409296D9}" uniqueName="162" name="GT1C_Comp_Inlet_Temp" queryTableFieldId="162"/>
    <tableColumn id="78" xr3:uid="{E7366886-9809-4F95-82C4-CC856AFBD948}" uniqueName="78" name="GT1A_Turbine_Speed" queryTableFieldId="528"/>
    <tableColumn id="79" xr3:uid="{78F88E86-600D-4E99-8CF3-E248FD299436}" uniqueName="79" name="GT1B_Turbine_Speed" queryTableFieldId="529"/>
    <tableColumn id="80" xr3:uid="{35E8464D-A3E3-4C94-9684-E7AAE742B99E}" uniqueName="80" name="GT1C_Turbine_Speed" queryTableFieldId="530"/>
    <tableColumn id="81" xr3:uid="{2BE1DA2E-9286-473C-85F7-41A8DED7211F}" uniqueName="81" name="ST_HP_Turbine_Speed" queryTableFieldId="531"/>
    <tableColumn id="82" xr3:uid="{2691ADBB-5849-4D9F-914D-376C5D9EF811}" uniqueName="82" name="Fuel_Gas_A_MCF_Hr" queryTableFieldId="532"/>
    <tableColumn id="83" xr3:uid="{2C81A6FA-B90B-4929-8594-2D42588C3C15}" uniqueName="83" name="Fuel_Gas_B_MCF_Hr" queryTableFieldId="533"/>
    <tableColumn id="84" xr3:uid="{CA68BB25-E170-41FA-8BB8-19FE8605D3D3}" uniqueName="84" name="Fuel_Gas_BTU" queryTableFieldId="534"/>
    <tableColumn id="85" xr3:uid="{B00B9792-8372-41FF-95FE-5E4F18127806}" uniqueName="85" name="Plant_Net_Load" queryTableFieldId="535"/>
    <tableColumn id="171" xr3:uid="{8775FB6F-D787-472D-827A-FCAF8F6AA9F0}" uniqueName="171" name="GT1A_Gen_MW" queryTableFieldId="171"/>
    <tableColumn id="172" xr3:uid="{57316C95-F10D-4E61-9C12-35FD893A8893}" uniqueName="172" name="GT1B_Gen_MW" queryTableFieldId="172"/>
    <tableColumn id="173" xr3:uid="{AC86D1B3-3A58-4159-8DF7-A294CF96329E}" uniqueName="173" name="GT1C_Gen_MW" queryTableFieldId="173"/>
    <tableColumn id="86" xr3:uid="{1D6DBD07-0B31-413C-BF65-23FE40330EF8}" uniqueName="86" name="ST_Gen_MW" queryTableFieldId="536"/>
    <tableColumn id="87" xr3:uid="{066259D8-5C4B-4AAD-95B5-A937AB57D538}" uniqueName="87" name="GT1A_Gen_Field_Amps" queryTableFieldId="537"/>
    <tableColumn id="88" xr3:uid="{3F5D8FAD-E86D-4A23-80CB-14FD9998D62D}" uniqueName="88" name="GT1B_Gen_Field_Amps" queryTableFieldId="538"/>
    <tableColumn id="89" xr3:uid="{5F61C06B-B391-4DFF-87BB-43F3C03E587B}" uniqueName="89" name="GT1C_Gen_Field_Amps" queryTableFieldId="539"/>
    <tableColumn id="90" xr3:uid="{4034AD7F-BA21-4E5E-A2E3-CF1C817C76D8}" uniqueName="90" name="GT1A_Gen_Field_Volts" queryTableFieldId="540"/>
    <tableColumn id="91" xr3:uid="{1131959A-F8BE-4DEA-BB2F-E8F626A0ACAD}" uniqueName="91" name="GT1B_Gen_Field_Volts" queryTableFieldId="541"/>
    <tableColumn id="92" xr3:uid="{122D5281-F341-48AC-96A9-1976B5D4CD8D}" uniqueName="92" name="GT1C_Gen_Field_Volts" queryTableFieldId="542"/>
    <tableColumn id="93" xr3:uid="{31786023-20BC-462E-9A29-B175D0AA7BEE}" uniqueName="93" name="GT1A_Gen_PF" queryTableFieldId="543"/>
    <tableColumn id="94" xr3:uid="{0ED28B23-3823-451F-B782-426AE7F83B8A}" uniqueName="94" name="GT1B_Gen_PF" queryTableFieldId="544"/>
    <tableColumn id="95" xr3:uid="{6324D5B6-B70A-4233-8FC7-00CB4493C6AE}" uniqueName="95" name="GT1C_Gen_PF" queryTableFieldId="545"/>
    <tableColumn id="96" xr3:uid="{C18A9AE4-2C2B-44F8-BF7F-A533022B160E}" uniqueName="96" name="ST_1st_Stage_Press" queryTableFieldId="546"/>
    <tableColumn id="185" xr3:uid="{8721E227-8207-495D-A924-9C8E92CC8F0A}" uniqueName="185" name="GT1A_IGV_Position" queryTableFieldId="185"/>
    <tableColumn id="186" xr3:uid="{86F98622-FB55-43D8-9163-22A0B7077A36}" uniqueName="186" name="GT1B_IGV_Position" queryTableFieldId="186"/>
    <tableColumn id="187" xr3:uid="{E5477D6F-875D-4149-BC97-C752F559B561}" uniqueName="187" name="GT1C_IGV_Position" queryTableFieldId="187"/>
    <tableColumn id="188" xr3:uid="{358EBD66-7A8F-41E0-A3E4-0DAE30B4D211}" uniqueName="188" name="GT1A_Comp_Disch_Temp" queryTableFieldId="188"/>
    <tableColumn id="189" xr3:uid="{C95BEFC3-CCCE-4DA4-85BA-71DCDB7A94A7}" uniqueName="189" name="GT1B_Comp_Disch_Temp" queryTableFieldId="189"/>
    <tableColumn id="190" xr3:uid="{94FFA4DB-7CBC-4BAD-ACB6-427649BD7144}" uniqueName="190" name="GT1C_Comp_Disch_Temp" queryTableFieldId="190"/>
    <tableColumn id="191" xr3:uid="{5A8EC3FB-4E2B-4090-9488-882AA685327B}" uniqueName="191" name="GT1A_Comp_Disch_Press" queryTableFieldId="191"/>
    <tableColumn id="192" xr3:uid="{D780BB1D-D369-4AD0-B89F-F3B776A15B2C}" uniqueName="192" name="GT1B_Comp_Disch_Press" queryTableFieldId="192"/>
    <tableColumn id="193" xr3:uid="{CD046700-DDD0-4BCF-AAA7-5123411C813F}" uniqueName="193" name="GT1C_Comp_Disch_Press" queryTableFieldId="193"/>
    <tableColumn id="194" xr3:uid="{1E5CD1C8-B0A8-47C1-B069-0B3832A77F72}" uniqueName="194" name="GT1A_Turb_Exh_Temp" queryTableFieldId="194"/>
    <tableColumn id="195" xr3:uid="{5B02E5BD-EA20-489C-8A4E-80091F96FAA8}" uniqueName="195" name="GT1A_Fuel_Flow" queryTableFieldId="195"/>
    <tableColumn id="196" xr3:uid="{7C24AE51-A7A3-496A-8E42-ED612A94D0DE}" uniqueName="196" name="GT1A_Fuel_Temp" queryTableFieldId="196"/>
    <tableColumn id="197" xr3:uid="{52715396-2F32-4A7A-9AB6-6DEB39293223}" uniqueName="197" name="GT1B_Turb_Exh_Temp" queryTableFieldId="197"/>
    <tableColumn id="198" xr3:uid="{27DE262A-F73A-4ED2-AE41-FEC53E7DC13B}" uniqueName="198" name="GT1B_Fuel_Flow" queryTableFieldId="198"/>
    <tableColumn id="199" xr3:uid="{8D7B0686-28B9-4DE6-8192-698146979B88}" uniqueName="199" name="GT1B_Fuel_Temp" queryTableFieldId="199"/>
    <tableColumn id="200" xr3:uid="{A1E6EA71-7DA2-4428-B679-8937B513F674}" uniqueName="200" name="GT1C_Turb_Exh_Temp" queryTableFieldId="200"/>
    <tableColumn id="201" xr3:uid="{7CFCEF20-D38B-4B16-A7F4-484BA2076D64}" uniqueName="201" name="GT1C_Fuel_Flow" queryTableFieldId="201"/>
    <tableColumn id="202" xr3:uid="{3D21E935-3388-4AD2-B1E3-B4A1273A4098}" uniqueName="202" name="GT1C_Fuel_Temp" queryTableFieldId="202"/>
    <tableColumn id="97" xr3:uid="{82651324-1F94-42CE-9BED-8D2D5977226C}" uniqueName="97" name="HRSG1A_HP_Stm_Press" queryTableFieldId="547"/>
    <tableColumn id="98" xr3:uid="{9B741631-2FDF-469C-AC8C-3F055F659B8B}" uniqueName="98" name="HRSG1B_HP_Stm_Press" queryTableFieldId="548"/>
    <tableColumn id="99" xr3:uid="{25991151-6EDE-4B68-8EB9-84047C13434B}" uniqueName="99" name="HRSG1C_HP_Stm_Press" queryTableFieldId="549"/>
    <tableColumn id="100" xr3:uid="{2CE6FE37-D387-4A68-8A19-140CE45995B6}" uniqueName="100" name="HRSG1A_IP_Stm_Press" queryTableFieldId="550"/>
    <tableColumn id="101" xr3:uid="{4EC625B5-1BC6-4F46-A038-976D21452FE5}" uniqueName="101" name="HRSG1B_IP_Stm_Press" queryTableFieldId="551"/>
    <tableColumn id="102" xr3:uid="{B3077CD7-94FE-46E4-8536-FB817CB3B2A2}" uniqueName="102" name="HRSG1C_IP_Stm_Press" queryTableFieldId="552"/>
    <tableColumn id="103" xr3:uid="{B29D4BC3-B21A-490B-8456-29B60D2E3783}" uniqueName="103" name="HRSG1A_HP_Stm_Temp" queryTableFieldId="553"/>
    <tableColumn id="104" xr3:uid="{6ED787E7-AC7D-4A16-A139-0100E9D0404B}" uniqueName="104" name="HRSG1B_HP_Stm_Temp" queryTableFieldId="554"/>
    <tableColumn id="105" xr3:uid="{3DAA2220-9107-424A-A47E-9ADE1D01E247}" uniqueName="105" name="HRSG1C_HP_Stm_Temp" queryTableFieldId="555"/>
    <tableColumn id="106" xr3:uid="{C2B139EC-DF41-48E7-BB4B-432BEFEDB506}" uniqueName="106" name="HRSG1A_IP_Stm_Temp" queryTableFieldId="556"/>
    <tableColumn id="107" xr3:uid="{14D46C20-2A6C-4EC5-A009-58F0C6B70A16}" uniqueName="107" name="HRSG1B_IP_Stm_Temp" queryTableFieldId="557"/>
    <tableColumn id="108" xr3:uid="{FC47E5A2-5079-4740-A216-63622DDAC19D}" uniqueName="108" name="HRSG1C_IP_Stm_Temp" queryTableFieldId="558"/>
    <tableColumn id="215" xr3:uid="{CAFC1279-B586-4006-AA21-6225DC1C30E9}" uniqueName="215" name="HRSG1A_HP_Stm_Flow" queryTableFieldId="215"/>
    <tableColumn id="216" xr3:uid="{EE7D7618-4E41-4548-A79D-40BA0D86D079}" uniqueName="216" name="HRSG1B_HP_Stm_Flow" queryTableFieldId="216"/>
    <tableColumn id="217" xr3:uid="{21366B95-E325-40E9-BF25-2E4EF4C2D0B4}" uniqueName="217" name="HRSG1C_HP_Stm_Flow" queryTableFieldId="217"/>
    <tableColumn id="218" xr3:uid="{6180AAE0-A118-43AE-9D16-2D34D98DE654}" uniqueName="218" name="HRSG1A_IP_Stm_Flow" queryTableFieldId="218"/>
    <tableColumn id="219" xr3:uid="{A604F6F1-C6C8-4DB7-B036-551C2368EFDF}" uniqueName="219" name="HRSG1B_IP_Stm_Flow" queryTableFieldId="219"/>
    <tableColumn id="220" xr3:uid="{C0792454-3C16-4D7E-B209-9B3EB99654A1}" uniqueName="220" name="HRSG1C_IP_Stm_Flow" queryTableFieldId="220"/>
    <tableColumn id="109" xr3:uid="{1110D61F-A95D-4247-8F3E-C0ED08017021}" uniqueName="109" name="ST_Main_Inlet_Stm_Temp" queryTableFieldId="559"/>
    <tableColumn id="110" xr3:uid="{DAEAE598-F8EC-43F8-B27A-873D84989C31}" uniqueName="110" name="ST_HP_Inlet_Press" queryTableFieldId="560"/>
    <tableColumn id="111" xr3:uid="{E162164B-FA8E-4178-A964-2019E5E2CEDB}" uniqueName="111" name="ST_LP_Adm_Stm_Temp" queryTableFieldId="561"/>
    <tableColumn id="112" xr3:uid="{24402BBB-BA05-4B50-9794-4D747864E03C}" uniqueName="112" name="ST_IP_Adm_Press" queryTableFieldId="562"/>
    <tableColumn id="113" xr3:uid="{C55BA4D3-6D6C-4CA5-84E3-9ADD29B8B8A2}" uniqueName="113" name="ST_Exh_Stm_Temp" queryTableFieldId="563"/>
    <tableColumn id="114" xr3:uid="{61A37EB1-BF93-462F-BAA2-C7AEDE63D7B7}" uniqueName="114" name="ST_Exh_Vacuum" queryTableFieldId="564"/>
    <tableColumn id="227" xr3:uid="{B6694D20-60E8-42E3-A65B-1EC574DAE102}" uniqueName="227" name="Condenser_Back_Press" queryTableFieldId="227"/>
    <tableColumn id="115" xr3:uid="{785B70B2-0B83-4789-96B0-AF48A1DAC3D1}" uniqueName="115" name="HRSG1A_HP_FW_Temp" queryTableFieldId="565"/>
    <tableColumn id="116" xr3:uid="{B88E2846-6628-499F-AF4E-7C76C419E864}" uniqueName="116" name="HRSG1B_HP_FW_Temp" queryTableFieldId="566"/>
    <tableColumn id="117" xr3:uid="{2ADE9073-4A98-472D-A203-03FAD46FA28F}" uniqueName="117" name="HRSG1C_HP_FW_Temp" queryTableFieldId="567"/>
    <tableColumn id="231" xr3:uid="{716F716A-1237-4804-B702-1381742BDFB6}" uniqueName="231" name="HRSG1A_HP_FW_Flow" queryTableFieldId="231"/>
    <tableColumn id="232" xr3:uid="{E87F36C1-786B-4DEE-8EB1-EAD6514ECBED}" uniqueName="232" name="HRSG1B_HP_FW_Flow" queryTableFieldId="232"/>
    <tableColumn id="233" xr3:uid="{5DBACF65-F0E0-489D-B00F-DF75AA812CA1}" uniqueName="233" name="HRSG1C_HP_FW_Flow" queryTableFieldId="233"/>
    <tableColumn id="118" xr3:uid="{9303FB90-AC94-4775-93F6-91CB405AB606}" uniqueName="118" name="HRSG1A_IP_FW_Temp" queryTableFieldId="568"/>
    <tableColumn id="119" xr3:uid="{6383E55C-478D-4B2D-A325-95716A8F49AF}" uniqueName="119" name="HRSG1B_IP_FW_Temp" queryTableFieldId="569"/>
    <tableColumn id="120" xr3:uid="{C8D396E8-3C05-4226-9019-67C5D17F0EE3}" uniqueName="120" name="HRSG1C_IP_FW_Temp" queryTableFieldId="570"/>
    <tableColumn id="237" xr3:uid="{1F3EB458-FB10-4A59-A375-CC8A30DC6694}" uniqueName="237" name="HRSG1A_IP_FW_Flow" queryTableFieldId="237"/>
    <tableColumn id="238" xr3:uid="{ADA55944-1452-4AEE-A398-20867C1CDFFA}" uniqueName="238" name="HRSG1B_IP_FW_Flow" queryTableFieldId="238"/>
    <tableColumn id="239" xr3:uid="{32026A4A-8786-4D17-BB36-6A91715B899F}" uniqueName="239" name="HRSG1C_IP_FW_Flow" queryTableFieldId="239"/>
    <tableColumn id="121" xr3:uid="{508C3152-763E-4F82-939E-2FFD26877541}" uniqueName="121" name="HRSG1A_LP_FW_Temp" queryTableFieldId="571"/>
    <tableColumn id="122" xr3:uid="{84069226-AB7A-41AE-A92D-F98F852097D1}" uniqueName="122" name="HRSG1B_LP_FW_Temp" queryTableFieldId="572"/>
    <tableColumn id="123" xr3:uid="{9C0E182F-3CCE-43BE-B89C-BC0C86A001B8}" uniqueName="123" name="HRSG1C_LP_FW_Temp" queryTableFieldId="573"/>
    <tableColumn id="243" xr3:uid="{DD09CA31-A8DC-45D2-BEA5-0B2FFAEC31D0}" uniqueName="243" name="HRSG1A_LP_FW_Flow" queryTableFieldId="243"/>
    <tableColumn id="244" xr3:uid="{C2CAC64E-92E2-4F6A-8E08-AEDAC93A45C5}" uniqueName="244" name="HRSG1B_LP_FW_Flow" queryTableFieldId="244"/>
    <tableColumn id="245" xr3:uid="{A8F36AAA-5130-4037-8EB8-1FD6E6D60872}" uniqueName="245" name="HRSG1C_LP_FW_Flow" queryTableFieldId="245"/>
    <tableColumn id="124" xr3:uid="{CDA86A92-698F-4607-86B6-A9EA0266ED5C}" uniqueName="124" name="HRSG1A_HP_Drum_Temp" queryTableFieldId="574"/>
    <tableColumn id="125" xr3:uid="{F0D6F020-5EF0-4C0D-8763-0C870E2955FF}" uniqueName="125" name="HRSG1B_HP_Drum_Temp" queryTableFieldId="575"/>
    <tableColumn id="126" xr3:uid="{AD758C28-14A0-4FCF-982B-AB2FE9F03B35}" uniqueName="126" name="HRSG1C_HP_Drum_Temp" queryTableFieldId="576"/>
    <tableColumn id="127" xr3:uid="{B0C6DFDD-6807-4600-A849-99BFE35BA1F2}" uniqueName="127" name="HRSG1A_IP_Drum_Temp" queryTableFieldId="577"/>
    <tableColumn id="128" xr3:uid="{D1D998E0-758B-4621-B75F-3D13A2D2D190}" uniqueName="128" name="HRSG1B_IP_Drum_Temp" queryTableFieldId="578"/>
    <tableColumn id="129" xr3:uid="{873A52A1-6825-49B7-B54E-BC452C7A2917}" uniqueName="129" name="HRSG1C_IP_Drum_Temp" queryTableFieldId="579"/>
    <tableColumn id="130" xr3:uid="{2CDF572F-A1CE-4113-A018-C8B3CF211B14}" uniqueName="130" name="BFP_Disch_HP_Press" queryTableFieldId="580"/>
    <tableColumn id="131" xr3:uid="{5DD091AC-6668-4652-B664-8D6C07645550}" uniqueName="131" name="BFP_Disch_IP_Press" queryTableFieldId="581"/>
    <tableColumn id="132" xr3:uid="{C44682E1-90C1-4032-8141-550C1E48A133}" uniqueName="132" name="HRSG1A_LP_Stm_Press" queryTableFieldId="582"/>
    <tableColumn id="133" xr3:uid="{C77FC5C1-FF50-4549-B767-A4CF8479E044}" uniqueName="133" name="HRSG1B_LP_Stm_Press" queryTableFieldId="583"/>
    <tableColumn id="134" xr3:uid="{6877CC73-FBB2-492D-BB2D-8535F31370D6}" uniqueName="134" name="HRSG1C_LP_Stm_Press" queryTableFieldId="584"/>
    <tableColumn id="135" xr3:uid="{A0B671D4-0D29-4E58-B821-5374CC74BB0E}" uniqueName="135" name="HRSG1A_LP_Stm_Temp" queryTableFieldId="585"/>
    <tableColumn id="136" xr3:uid="{2A9FAB7E-33E1-447F-8F46-DFA3D6416096}" uniqueName="136" name="HRSG1B_LP_Stm_Temp" queryTableFieldId="586"/>
    <tableColumn id="137" xr3:uid="{B13C671E-D1C3-4DE4-999D-A9DC1D9F416B}" uniqueName="137" name="HRSG1C_LP_Stm_Temp" queryTableFieldId="587"/>
    <tableColumn id="260" xr3:uid="{54E8FB74-BEB9-43C9-8900-5437E6357120}" uniqueName="260" name="HRSG1A_HP_Drum_Press" queryTableFieldId="260"/>
    <tableColumn id="261" xr3:uid="{ED860BE7-0AA1-4DB4-A1F5-9A2060634086}" uniqueName="261" name="HRSG1B_HP_Drum_Press" queryTableFieldId="261"/>
    <tableColumn id="262" xr3:uid="{68B6AEEC-CC16-463C-96B5-5788279AD2F7}" uniqueName="262" name="HRSG1C_HP_Drum_Press" queryTableFieldId="262"/>
    <tableColumn id="263" xr3:uid="{615E71DB-51B7-4471-BB26-2B34A25DFB10}" uniqueName="263" name="HRSG1A_IP_Drum_Press" queryTableFieldId="263"/>
    <tableColumn id="264" xr3:uid="{E10C5031-BADF-44D8-A3B6-D239E26A05B8}" uniqueName="264" name="HRSG1B_IP_Drum_Press" queryTableFieldId="264"/>
    <tableColumn id="265" xr3:uid="{9FBF7DB6-E0E9-4E9B-BE0E-712F5594DA4E}" uniqueName="265" name="HRSG1C_IP_Drum_Press" queryTableFieldId="265"/>
    <tableColumn id="266" xr3:uid="{F3DE3554-02E3-404E-AAB7-6F1A294B099A}" uniqueName="266" name="HRSG1A_LP_Drum_Press" queryTableFieldId="266"/>
    <tableColumn id="267" xr3:uid="{1051897E-26FE-42FA-B2DA-2CCAAA9B3764}" uniqueName="267" name="HRSG1B_LP_Drum_Press" queryTableFieldId="267"/>
    <tableColumn id="268" xr3:uid="{55CDAAB0-67F2-4C3F-B926-7CBCCA3C0AEA}" uniqueName="268" name="HRSG1C_LP_Drum_Press" queryTableFieldId="268"/>
    <tableColumn id="138" xr3:uid="{545BFCF8-A464-49E5-88F6-2C0260F10382}" uniqueName="138" name="HRSG1A_Stack_Temp" queryTableFieldId="588"/>
    <tableColumn id="139" xr3:uid="{5908C026-23AD-4F10-9269-316F5264A437}" uniqueName="139" name="HRSG1B_Stack_Temp" queryTableFieldId="589"/>
    <tableColumn id="140" xr3:uid="{A22CF2FE-569C-4E5A-95CF-2AB01EB32E67}" uniqueName="140" name="HRSG1C_Stack_Temp" queryTableFieldId="590"/>
    <tableColumn id="272" xr3:uid="{1793A057-4B73-46E9-97C9-8E119D8C785C}" uniqueName="272" name="CW_Pump_Disch_Press" queryTableFieldId="272"/>
    <tableColumn id="273" xr3:uid="{40E60DDF-8440-41DC-8978-EE1DEF27548D}" uniqueName="273" name="CW_Pump_Disch_Flow" queryTableFieldId="273"/>
    <tableColumn id="274" xr3:uid="{1E22067D-54C2-48EB-AB58-E0C5A7D837A8}" uniqueName="274" name="CW_Pump_Disch_Temp" queryTableFieldId="274"/>
    <tableColumn id="141" xr3:uid="{A375D53D-D775-4A12-80E9-184489538492}" uniqueName="141" name="Cond_WB_A_Outlet_Temp" queryTableFieldId="591"/>
    <tableColumn id="142" xr3:uid="{63BB544E-AE37-46C9-8C66-1D84B6A94FDE}" uniqueName="142" name="Cond_WB_B_Outlet_Temp" queryTableFieldId="592"/>
    <tableColumn id="143" xr3:uid="{25EFE549-C56A-4556-A779-562D0FA1012F}" uniqueName="143" name="CW_HX3_Temp" queryTableFieldId="593"/>
    <tableColumn id="278" xr3:uid="{C9C34A47-8372-40C1-9A24-7402A0F9A1FE}" uniqueName="278" name="CT_Blowdown_Flow" queryTableFieldId="278"/>
    <tableColumn id="279" xr3:uid="{6DF11B43-8879-4FE0-92C0-BCAFCF3A9573}" uniqueName="279" name="GT1A_Diff_Press" queryTableFieldId="279"/>
    <tableColumn id="280" xr3:uid="{5CC8D345-61FE-4818-B33E-BCD68F5E7131}" uniqueName="280" name="GT1B_Diff_Press" queryTableFieldId="280"/>
    <tableColumn id="281" xr3:uid="{8E0AA95B-9BF8-416E-BD0B-C428BC1381E5}" uniqueName="281" name="GT1C_Diff_Press" queryTableFieldId="281"/>
    <tableColumn id="282" xr3:uid="{E9CE89AE-EC56-46EC-9B3C-F2D01F1451D3}" uniqueName="282" name="GT1A_GCV_Position" queryTableFieldId="282"/>
    <tableColumn id="283" xr3:uid="{B5504749-C13D-4750-A3DE-6F17DBA3E1A8}" uniqueName="283" name="GT1B_GCV_Position" queryTableFieldId="283"/>
    <tableColumn id="284" xr3:uid="{E1BF75FB-9244-491B-BCAD-7FC8F4D196EE}" uniqueName="284" name="GT1C_GCV_Position" queryTableFieldId="284"/>
    <tableColumn id="285" xr3:uid="{3EDCC519-F62C-4A91-B9FD-3C313AA9BA93}" uniqueName="285" name="GT1A_GCV_Reference" queryTableFieldId="285"/>
    <tableColumn id="286" xr3:uid="{DC63C4ED-3FA6-4766-A288-AB5BBFF890CF}" uniqueName="286" name="GT1B_GCV_Reference" queryTableFieldId="286"/>
    <tableColumn id="287" xr3:uid="{2502778B-C0FA-4866-82CE-B7DACA1742FF}" uniqueName="287" name="GT1C_GCV_Reference" queryTableFieldId="287"/>
    <tableColumn id="288" xr3:uid="{DCE3FE57-E610-4FD6-9D5D-5FD5258B5C4D}" uniqueName="288" name="GT1A_InterStg_Press" queryTableFieldId="288"/>
    <tableColumn id="289" xr3:uid="{A4950F57-F090-453B-9872-CAB4D664D1CE}" uniqueName="289" name="GT1B_InterStg_Press" queryTableFieldId="289"/>
    <tableColumn id="290" xr3:uid="{380B2490-251A-4299-95F2-E115B8D05FB8}" uniqueName="290" name="GT1C_InterStg_Press" queryTableFieldId="290"/>
    <tableColumn id="10" xr3:uid="{588BB3C7-FAFA-479D-AB48-2EF0A3019818}" uniqueName="10" name="Load_Type" queryTableFieldId="313" dataDxfId="63"/>
    <tableColumn id="144" xr3:uid="{24C8DFD8-9454-485E-A60B-57F403835588}" uniqueName="144" name="GT1A_OFWW" queryTableFieldId="662" dataDxfId="62"/>
    <tableColumn id="145" xr3:uid="{B53AA3A3-07AB-4A9A-9F19-9861C147A998}" uniqueName="145" name="GT1B_OFWW" queryTableFieldId="663" dataDxfId="61"/>
    <tableColumn id="146" xr3:uid="{3047DA97-D08C-4E56-A44A-5D24F82E589C}" uniqueName="146" name="GT1C_OFWW" queryTableFieldId="664" dataDxfId="60"/>
    <tableColumn id="306" xr3:uid="{BEEB6468-252A-46E3-9B08-F9171C959BDC}" uniqueName="306" name="GT-A Corrected Power (MWh)" queryTableFieldId="306" dataDxfId="59" dataCellStyle="Comma">
      <calculatedColumnFormula>Base_Data_2026[[#This Row],[GT1A_Gen_MW]]/(#REF!*#REF!*VLOOKUP(Base_Data_2026[[#This Row],[Date Only]],'Fuel. Gas specifications'!$A$9:$Y$48,23,FALSE))</calculatedColumnFormula>
    </tableColumn>
    <tableColumn id="4" xr3:uid="{BD303C9F-9D3C-43C3-8649-59A668120C8F}" uniqueName="4" name="Full Load" queryTableFieldId="307" dataDxfId="58">
      <calculatedColumnFormula>IF(AND(Base_Data_2026[[#This Row],[GT1A_IGV_Position]]&gt;$KM$1,Base_Data_2026[[#This Row],[GT1B_IGV_Position]]&gt;$KM$1,Base_Data_2026[[#This Row],[GT1C_IGV_Position]]&gt;$KM$1),"Full Load","Part Load")</calculatedColumnFormula>
    </tableColumn>
    <tableColumn id="5" xr3:uid="{9E7F8170-FCE5-4CCB-9304-9F02F4C8B660}" uniqueName="5" name="GCV Position (A | B | C)" queryTableFieldId="308" dataDxfId="57">
      <calculatedColumnFormula>_xlfn.TEXTJOIN(" | ",FALSE,TEXT(Base_Data_2026[[#This Row],[GT1A_GCV_Position]],"#,##0.0"),TEXT(Base_Data_2026[[#This Row],[GT1B_GCV_Position]],"#,##0.0"),TEXT(Base_Data_2026[[#This Row],[GT1C_GCV_Position]],"#,##0.0"))</calculatedColumnFormula>
    </tableColumn>
    <tableColumn id="9" xr3:uid="{FC378F25-2DB3-4DDE-AF04-C1F4E6126372}" uniqueName="9" name="Fuel Flow ( A | B | C)" queryTableFieldId="312" dataDxfId="56">
      <calculatedColumnFormula>_xlfn.TEXTJOIN(" | ",FALSE,TEXT(Base_Data_2026[[#This Row],[GT1A_Fuel_Flow]],"#,##0.0"),TEXT(Base_Data_2026[[#This Row],[GT1B_Fuel_Flow]],"#,##0.0"),TEXT(Base_Data_2026[[#This Row],[GT1C_Fuel_Flow]],"#,##0.0"))</calculatedColumnFormula>
    </tableColumn>
    <tableColumn id="6" xr3:uid="{44296DCB-A246-4FD0-BD66-7ED08AA6E5F1}" uniqueName="6" name="CPD (A | B | C)" queryTableFieldId="309" dataDxfId="55">
      <calculatedColumnFormula>_xlfn.TEXTJOIN(" | ",FALSE,TEXT(Base_Data_2026[[#This Row],[GT1A_Comp_Disch_Press]],"#,##0.0"),TEXT(Base_Data_2026[[#This Row],[GT1B_Comp_Disch_Press]],"#,##0.0"),TEXT(Base_Data_2026[[#This Row],[GT1C_Comp_Disch_Press]],"#,##0.0"))</calculatedColumnFormula>
    </tableColumn>
    <tableColumn id="7" xr3:uid="{41F3F077-E7D5-4839-B554-E634D1AC2E88}" uniqueName="7" name="TTX (A | B | C)" queryTableFieldId="310" dataDxfId="54">
      <calculatedColumnFormula>_xlfn.TEXTJOIN(" | ",FALSE,TEXT(Base_Data_2026[[#This Row],[GT1A_Turb_Exh_Temp]],"#,##0.0"),TEXT(Base_Data_2026[[#This Row],[GT1B_Turb_Exh_Temp]],"#,##0.0"),TEXT(Base_Data_2026[[#This Row],[GT1C_Turb_Exh_Temp]],"#,##0.0"))</calculatedColumnFormula>
    </tableColumn>
    <tableColumn id="8" xr3:uid="{8D72E48F-9D19-43D8-842A-0C628F81F1D5}" uniqueName="8" name="MW Output (A | B | C)" queryTableFieldId="311" dataDxfId="53">
      <calculatedColumnFormula>_xlfn.TEXTJOIN(" | ",FALSE,TEXT(Base_Data_2026[[#This Row],[GT1A_Gen_MW]],"#,##0.0"),TEXT(Base_Data_2026[[#This Row],[GT1B_Gen_MW]],"#,##0.0"),TEXT(Base_Data_2026[[#This Row],[GT1C_Gen_MW]],"#,##0.0"))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L6" dT="2026-02-02T03:20:36.42" personId="{31C6E86D-63DB-4129-9D90-E6BF24CA4712}" id="{932558DE-7E13-45C9-8851-C09609C7D171}">
    <text>Complex tripping due to Grid Fault</text>
  </threadedComment>
  <threadedComment ref="R6" dT="2026-02-02T04:21:59.17" personId="{31C6E86D-63DB-4129-9D90-E6BF24CA4712}" id="{B8A4EC3D-5CF5-4363-8C79-CD156AD8AFBD}">
    <text xml:space="preserve">Tripped on false fire alarm in zone 2 </text>
  </threadedComment>
  <threadedComment ref="F8" dT="2026-01-13T07:04:03.80" personId="{31C6E86D-63DB-4129-9D90-E6BF24CA4712}" id="{D29AD864-56D5-46C0-AE02-4A262CE53FDE}">
    <text>INLET AIR FILTER REPLACEMENT</text>
  </threadedComment>
  <threadedComment ref="F11" dT="2026-02-02T03:20:36.42" personId="{31C6E86D-63DB-4129-9D90-E6BF24CA4712}" id="{71A8D179-9363-4FF1-95EB-4FC87F611843}">
    <text>Complex tripping due to Grid Fault</text>
  </threadedComment>
  <threadedComment ref="F12" dT="2026-02-02T03:20:36.42" personId="{31C6E86D-63DB-4129-9D90-E6BF24CA4712}" id="{6F171A4F-BD30-4CD1-8BC9-F048716B1A03}">
    <text>Tripped due to Grid Instability</text>
  </threadedComment>
</ThreadedComments>
</file>

<file path=xl/threadedComments/threadedComment2.xml><?xml version="1.0" encoding="utf-8"?>
<ThreadedComments xmlns="http://schemas.microsoft.com/office/spreadsheetml/2018/threadedcomments" xmlns:x="http://schemas.openxmlformats.org/spreadsheetml/2006/main">
  <threadedComment ref="W9" dT="2026-02-09T11:41:38.27" personId="{31C6E86D-63DB-4129-9D90-E6BF24CA4712}" id="{70C473FB-BB92-46AA-8182-DB469A530C39}">
    <text>Without CO2</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4.xml"/><Relationship Id="rId7" Type="http://schemas.microsoft.com/office/2017/10/relationships/threadedComment" Target="../threadedComments/threadedComment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table" Target="../tables/table6.xml"/><Relationship Id="rId4" Type="http://schemas.openxmlformats.org/officeDocument/2006/relationships/table" Target="../tables/table5.xml"/></Relationships>
</file>

<file path=xl/worksheets/_rels/sheet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microsoft.com/office/2007/relationships/slicer" Target="../slicers/slicer1.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029F31-835D-4CBE-A6EE-66A7F1B09D5E}">
  <sheetPr codeName="Sheet8"/>
  <dimension ref="B2:B3"/>
  <sheetViews>
    <sheetView workbookViewId="0">
      <selection activeCell="E19" sqref="E19"/>
    </sheetView>
  </sheetViews>
  <sheetFormatPr defaultRowHeight="13.2" x14ac:dyDescent="0.25"/>
  <cols>
    <col min="2" max="2" width="80.5546875" bestFit="1" customWidth="1"/>
  </cols>
  <sheetData>
    <row r="2" spans="2:2" x14ac:dyDescent="0.25">
      <c r="B2" s="30" t="s">
        <v>202</v>
      </c>
    </row>
    <row r="3" spans="2:2" x14ac:dyDescent="0.25">
      <c r="B3" s="30" t="s">
        <v>295</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B52BA-50A1-4B6E-9E35-A26032E811B5}">
  <sheetPr codeName="Sheet1"/>
  <dimension ref="A3:I12"/>
  <sheetViews>
    <sheetView workbookViewId="0">
      <selection activeCell="B13" sqref="B13"/>
    </sheetView>
  </sheetViews>
  <sheetFormatPr defaultRowHeight="13.2" x14ac:dyDescent="0.25"/>
  <cols>
    <col min="2" max="2" width="10.109375" bestFit="1" customWidth="1"/>
    <col min="8" max="8" width="9.33203125" bestFit="1" customWidth="1"/>
    <col min="9" max="9" width="11.109375" customWidth="1"/>
  </cols>
  <sheetData>
    <row r="3" spans="1:9" x14ac:dyDescent="0.25">
      <c r="B3" t="s">
        <v>296</v>
      </c>
      <c r="C3" t="s">
        <v>297</v>
      </c>
      <c r="D3" t="s">
        <v>298</v>
      </c>
      <c r="E3" t="s">
        <v>299</v>
      </c>
      <c r="H3" s="30" t="s">
        <v>317</v>
      </c>
    </row>
    <row r="4" spans="1:9" x14ac:dyDescent="0.25">
      <c r="B4" s="34">
        <v>46034</v>
      </c>
      <c r="E4" t="s">
        <v>331</v>
      </c>
      <c r="H4" s="30" t="s">
        <v>0</v>
      </c>
      <c r="I4" s="30" t="s">
        <v>318</v>
      </c>
    </row>
    <row r="5" spans="1:9" x14ac:dyDescent="0.25">
      <c r="B5" s="76">
        <v>46046</v>
      </c>
      <c r="C5" t="s">
        <v>300</v>
      </c>
      <c r="H5" s="77">
        <v>46034</v>
      </c>
      <c r="I5" s="30" t="s">
        <v>299</v>
      </c>
    </row>
    <row r="11" spans="1:9" x14ac:dyDescent="0.25">
      <c r="A11" t="s">
        <v>339</v>
      </c>
      <c r="B11" s="113">
        <v>46104</v>
      </c>
    </row>
    <row r="12" spans="1:9" x14ac:dyDescent="0.25">
      <c r="A12" t="s">
        <v>340</v>
      </c>
      <c r="B12" s="114">
        <v>46104</v>
      </c>
    </row>
  </sheetData>
  <dataValidations count="1">
    <dataValidation type="list" allowBlank="1" showInputMessage="1" showErrorMessage="1" sqref="I5" xr:uid="{B31C0B41-3681-4DA5-9C8E-28D46BA9B57D}">
      <formula1>$C$3:$E$3</formula1>
    </dataValidation>
  </dataValidations>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361EF0-1369-4F62-BB34-3477BEDD7B96}">
  <sheetPr codeName="Sheet12"/>
  <dimension ref="B1:R28"/>
  <sheetViews>
    <sheetView topLeftCell="C1" workbookViewId="0">
      <selection activeCell="H30" sqref="H30"/>
    </sheetView>
  </sheetViews>
  <sheetFormatPr defaultRowHeight="13.2" x14ac:dyDescent="0.25"/>
  <cols>
    <col min="2" max="3" width="15.88671875" bestFit="1" customWidth="1"/>
    <col min="4" max="5" width="15.88671875" customWidth="1"/>
    <col min="6" max="6" width="16" style="8" bestFit="1" customWidth="1"/>
    <col min="8" max="9" width="15.88671875" bestFit="1" customWidth="1"/>
    <col min="10" max="11" width="15.88671875" customWidth="1"/>
    <col min="12" max="12" width="16" bestFit="1" customWidth="1"/>
    <col min="14" max="15" width="15.88671875" bestFit="1" customWidth="1"/>
    <col min="16" max="17" width="15.88671875" customWidth="1"/>
    <col min="18" max="18" width="16" bestFit="1" customWidth="1"/>
  </cols>
  <sheetData>
    <row r="1" spans="2:18" ht="13.8" thickBot="1" x14ac:dyDescent="0.3"/>
    <row r="2" spans="2:18" ht="30.6" thickBot="1" x14ac:dyDescent="0.55000000000000004">
      <c r="B2" s="120" t="s">
        <v>319</v>
      </c>
      <c r="C2" s="121"/>
      <c r="D2" s="121"/>
      <c r="E2" s="121"/>
      <c r="F2" s="122"/>
      <c r="G2" s="78"/>
      <c r="H2" s="120" t="s">
        <v>320</v>
      </c>
      <c r="I2" s="121"/>
      <c r="J2" s="121"/>
      <c r="K2" s="121"/>
      <c r="L2" s="122"/>
      <c r="M2" s="78"/>
      <c r="N2" s="120" t="s">
        <v>321</v>
      </c>
      <c r="O2" s="121"/>
      <c r="P2" s="121"/>
      <c r="Q2" s="121"/>
      <c r="R2" s="122"/>
    </row>
    <row r="3" spans="2:18" ht="13.8" x14ac:dyDescent="0.25">
      <c r="B3" s="79" t="s">
        <v>322</v>
      </c>
      <c r="C3" s="79" t="s">
        <v>323</v>
      </c>
      <c r="D3" s="96" t="s">
        <v>311</v>
      </c>
      <c r="E3" s="96" t="s">
        <v>294</v>
      </c>
      <c r="F3" s="88" t="s">
        <v>324</v>
      </c>
      <c r="G3" s="80"/>
      <c r="H3" s="79" t="s">
        <v>325</v>
      </c>
      <c r="I3" s="79" t="s">
        <v>326</v>
      </c>
      <c r="J3" s="97" t="s">
        <v>311</v>
      </c>
      <c r="K3" s="97" t="s">
        <v>294</v>
      </c>
      <c r="L3" s="81" t="s">
        <v>324</v>
      </c>
      <c r="M3" s="80"/>
      <c r="N3" s="79" t="s">
        <v>327</v>
      </c>
      <c r="O3" s="79" t="s">
        <v>328</v>
      </c>
      <c r="P3" s="97" t="s">
        <v>311</v>
      </c>
      <c r="Q3" s="97" t="s">
        <v>294</v>
      </c>
      <c r="R3" s="81" t="s">
        <v>324</v>
      </c>
    </row>
    <row r="4" spans="2:18" x14ac:dyDescent="0.25">
      <c r="B4" s="82">
        <v>45977.348611111112</v>
      </c>
      <c r="C4" s="82">
        <v>45978.670138888891</v>
      </c>
      <c r="D4" s="98">
        <v>0</v>
      </c>
      <c r="E4" s="98">
        <v>11500</v>
      </c>
      <c r="F4" s="89" t="s">
        <v>329</v>
      </c>
      <c r="H4" s="82">
        <v>45977.289583333331</v>
      </c>
      <c r="I4" s="82">
        <v>45978.617361111108</v>
      </c>
      <c r="J4" s="98">
        <v>0</v>
      </c>
      <c r="K4" s="98">
        <v>11500</v>
      </c>
      <c r="L4" s="83" t="s">
        <v>329</v>
      </c>
      <c r="N4" s="82">
        <v>45971.206250000003</v>
      </c>
      <c r="O4" s="82">
        <v>45971.682638888888</v>
      </c>
      <c r="P4" s="98">
        <v>0</v>
      </c>
      <c r="Q4" s="98">
        <v>11500</v>
      </c>
      <c r="R4" s="94" t="s">
        <v>330</v>
      </c>
    </row>
    <row r="5" spans="2:18" x14ac:dyDescent="0.25">
      <c r="B5" s="82">
        <v>45979.286111111112</v>
      </c>
      <c r="C5" s="82">
        <v>45979.5625</v>
      </c>
      <c r="D5" s="98">
        <v>0</v>
      </c>
      <c r="E5" s="98">
        <v>11500</v>
      </c>
      <c r="F5" s="89" t="s">
        <v>329</v>
      </c>
      <c r="H5" s="82">
        <v>46046.261111111111</v>
      </c>
      <c r="I5" s="82">
        <v>46046.393750000003</v>
      </c>
      <c r="J5" s="98">
        <v>0</v>
      </c>
      <c r="K5" s="98">
        <v>11500</v>
      </c>
      <c r="L5" s="94" t="s">
        <v>330</v>
      </c>
      <c r="N5" s="82">
        <v>45987.381944444445</v>
      </c>
      <c r="O5" s="82">
        <v>45987.438194444447</v>
      </c>
      <c r="P5" s="98">
        <v>0</v>
      </c>
      <c r="Q5" s="98">
        <v>11500</v>
      </c>
      <c r="R5" s="94" t="s">
        <v>330</v>
      </c>
    </row>
    <row r="6" spans="2:18" x14ac:dyDescent="0.25">
      <c r="B6" s="82">
        <v>45991.334722222222</v>
      </c>
      <c r="C6" s="82">
        <v>45991.563888888886</v>
      </c>
      <c r="D6" s="98">
        <v>0</v>
      </c>
      <c r="E6" s="98">
        <v>11500</v>
      </c>
      <c r="F6" s="89" t="s">
        <v>329</v>
      </c>
      <c r="H6" s="82">
        <v>46049.222916666666</v>
      </c>
      <c r="I6" s="82">
        <v>46049.475694444445</v>
      </c>
      <c r="J6" s="98">
        <v>0</v>
      </c>
      <c r="K6" s="98">
        <v>11500</v>
      </c>
      <c r="L6" s="83" t="s">
        <v>329</v>
      </c>
      <c r="N6" s="85">
        <v>46026.949305555558</v>
      </c>
      <c r="O6" s="82">
        <v>46027.727083333331</v>
      </c>
      <c r="P6" s="98">
        <v>0</v>
      </c>
      <c r="Q6" s="98">
        <v>11500</v>
      </c>
      <c r="R6" s="95" t="s">
        <v>330</v>
      </c>
    </row>
    <row r="7" spans="2:18" x14ac:dyDescent="0.25">
      <c r="B7" s="82">
        <v>46006.083333333336</v>
      </c>
      <c r="C7" s="82">
        <v>46007.569444444445</v>
      </c>
      <c r="D7" s="98">
        <v>0</v>
      </c>
      <c r="E7" s="98">
        <v>11500</v>
      </c>
      <c r="F7" s="89" t="s">
        <v>329</v>
      </c>
      <c r="H7" s="82">
        <v>46073.268055555556</v>
      </c>
      <c r="I7" s="82">
        <v>46073.606944444444</v>
      </c>
      <c r="J7" s="98">
        <v>0</v>
      </c>
      <c r="K7" s="98">
        <v>11500</v>
      </c>
      <c r="L7" s="83" t="s">
        <v>329</v>
      </c>
      <c r="N7" s="85">
        <v>46047.556944444441</v>
      </c>
      <c r="O7" s="82">
        <v>46047.604861111111</v>
      </c>
      <c r="P7" s="98">
        <v>0</v>
      </c>
      <c r="Q7" s="98">
        <v>11500</v>
      </c>
      <c r="R7" s="83" t="s">
        <v>329</v>
      </c>
    </row>
    <row r="8" spans="2:18" x14ac:dyDescent="0.25">
      <c r="B8" s="85">
        <v>46034.385416666664</v>
      </c>
      <c r="C8" s="82">
        <v>46034.744444444441</v>
      </c>
      <c r="D8" s="98">
        <v>0</v>
      </c>
      <c r="E8" s="98">
        <v>11500</v>
      </c>
      <c r="F8" s="93" t="s">
        <v>330</v>
      </c>
      <c r="H8" s="82">
        <v>46073.635416666664</v>
      </c>
      <c r="I8" s="82">
        <v>46074.144444444442</v>
      </c>
      <c r="J8" s="98">
        <v>0</v>
      </c>
      <c r="K8" s="98">
        <v>11500</v>
      </c>
      <c r="L8" s="94" t="s">
        <v>330</v>
      </c>
      <c r="N8" s="85">
        <v>46049.222916666666</v>
      </c>
      <c r="O8" s="82">
        <v>46049.549305555556</v>
      </c>
      <c r="P8" s="98">
        <v>0</v>
      </c>
      <c r="Q8" s="98">
        <v>11500</v>
      </c>
      <c r="R8" s="83" t="s">
        <v>329</v>
      </c>
    </row>
    <row r="9" spans="2:18" x14ac:dyDescent="0.25">
      <c r="B9" s="82">
        <v>46045.01458333333</v>
      </c>
      <c r="C9" s="82">
        <v>46046.674305555556</v>
      </c>
      <c r="D9" s="98">
        <v>0</v>
      </c>
      <c r="E9" s="98">
        <v>11500</v>
      </c>
      <c r="F9" s="89" t="s">
        <v>330</v>
      </c>
      <c r="H9" s="82"/>
      <c r="I9" s="82"/>
      <c r="J9" s="82"/>
      <c r="K9" s="82"/>
      <c r="L9" s="83"/>
      <c r="N9" s="85">
        <v>46073.296527777777</v>
      </c>
      <c r="O9" s="85">
        <v>46073.566666666666</v>
      </c>
      <c r="P9" s="99">
        <v>0</v>
      </c>
      <c r="Q9" s="98">
        <v>11500</v>
      </c>
      <c r="R9" s="83" t="s">
        <v>329</v>
      </c>
    </row>
    <row r="10" spans="2:18" x14ac:dyDescent="0.25">
      <c r="B10" s="82">
        <v>46047.49722222222</v>
      </c>
      <c r="C10" s="82">
        <v>46047.631249999999</v>
      </c>
      <c r="D10" s="98">
        <v>0</v>
      </c>
      <c r="E10" s="98">
        <v>11500</v>
      </c>
      <c r="F10" s="89" t="s">
        <v>329</v>
      </c>
      <c r="N10" s="85">
        <v>46075.304861111108</v>
      </c>
      <c r="O10" s="85">
        <v>46075.611805555556</v>
      </c>
      <c r="P10" s="99">
        <v>0</v>
      </c>
      <c r="Q10" s="98">
        <v>11500</v>
      </c>
      <c r="R10" s="83" t="s">
        <v>329</v>
      </c>
    </row>
    <row r="11" spans="2:18" x14ac:dyDescent="0.25">
      <c r="B11" s="82">
        <v>46049.222916666666</v>
      </c>
      <c r="C11" s="82">
        <v>46049.390972222223</v>
      </c>
      <c r="D11" s="98">
        <v>0</v>
      </c>
      <c r="E11" s="98">
        <v>11500</v>
      </c>
      <c r="F11" s="90" t="s">
        <v>329</v>
      </c>
      <c r="G11" s="84"/>
      <c r="M11" s="84"/>
      <c r="N11" s="85">
        <v>46079.336111111108</v>
      </c>
      <c r="O11" s="85">
        <v>46079.604166666664</v>
      </c>
      <c r="P11" s="99">
        <v>0</v>
      </c>
      <c r="Q11" s="98">
        <v>11500</v>
      </c>
      <c r="R11" s="83" t="s">
        <v>329</v>
      </c>
    </row>
    <row r="12" spans="2:18" x14ac:dyDescent="0.25">
      <c r="B12" s="82">
        <v>46049.427083333336</v>
      </c>
      <c r="C12" s="82">
        <v>46049.586805555555</v>
      </c>
      <c r="D12" s="98">
        <v>0</v>
      </c>
      <c r="E12" s="98">
        <v>11500</v>
      </c>
      <c r="F12" s="90" t="s">
        <v>329</v>
      </c>
      <c r="N12" s="85">
        <v>46080.330555555556</v>
      </c>
      <c r="O12" s="85">
        <v>46080.616666666669</v>
      </c>
      <c r="P12" s="99">
        <v>0</v>
      </c>
      <c r="Q12" s="98">
        <v>11500</v>
      </c>
      <c r="R12" s="83" t="s">
        <v>329</v>
      </c>
    </row>
    <row r="13" spans="2:18" x14ac:dyDescent="0.25">
      <c r="B13" s="82">
        <v>46075.294444444444</v>
      </c>
      <c r="C13" s="82">
        <v>46075.580555555556</v>
      </c>
      <c r="D13" s="98">
        <v>0</v>
      </c>
      <c r="E13" s="98">
        <v>11500</v>
      </c>
      <c r="F13" s="91" t="s">
        <v>329</v>
      </c>
    </row>
    <row r="14" spans="2:18" x14ac:dyDescent="0.25">
      <c r="B14" s="82">
        <v>46077.341666666667</v>
      </c>
      <c r="C14" s="82">
        <v>46077.601388888892</v>
      </c>
      <c r="D14" s="98">
        <v>0</v>
      </c>
      <c r="E14" s="98">
        <v>11500</v>
      </c>
      <c r="F14" s="92" t="s">
        <v>329</v>
      </c>
    </row>
    <row r="15" spans="2:18" x14ac:dyDescent="0.25">
      <c r="B15" s="82">
        <v>46078.343055555553</v>
      </c>
      <c r="C15" s="82">
        <v>46078.618750000001</v>
      </c>
      <c r="D15" s="98">
        <v>0</v>
      </c>
      <c r="E15" s="98">
        <v>11500</v>
      </c>
      <c r="F15" s="92" t="s">
        <v>329</v>
      </c>
    </row>
    <row r="16" spans="2:18" x14ac:dyDescent="0.25">
      <c r="B16" s="82">
        <v>46081.302777777775</v>
      </c>
      <c r="C16" s="82">
        <v>46082.617361111108</v>
      </c>
      <c r="D16" s="98">
        <v>0</v>
      </c>
      <c r="E16" s="98">
        <v>11500</v>
      </c>
      <c r="F16" s="92" t="s">
        <v>329</v>
      </c>
    </row>
    <row r="17" spans="2:8" x14ac:dyDescent="0.25">
      <c r="B17" s="82"/>
      <c r="C17" s="82"/>
      <c r="D17" s="82"/>
      <c r="E17" s="82"/>
      <c r="F17" s="87"/>
    </row>
    <row r="28" spans="2:8" x14ac:dyDescent="0.25">
      <c r="H28" s="86"/>
    </row>
  </sheetData>
  <mergeCells count="3">
    <mergeCell ref="B2:F2"/>
    <mergeCell ref="H2:L2"/>
    <mergeCell ref="N2:R2"/>
  </mergeCells>
  <conditionalFormatting sqref="I28:K28 I36:K36 H29:K35 H37:K44 N13:Q41 B14:F17 B9:E13 N7:P9 B3:E7 N3:Q3 B2 H2 N2 H3:K27 N4:P5 Q4:Q12">
    <cfRule type="expression" dxfId="38" priority="22">
      <formula>TEXT(B2,"mmm-yyyy")=TEXT(EDATE(TODAY(),-1),"mmm-yyyy")</formula>
    </cfRule>
    <cfRule type="expression" dxfId="37" priority="23">
      <formula>TEXT(B2,"mmm-yyyy")=TEXT(NOW(),"mmm-yyyy")</formula>
    </cfRule>
  </conditionalFormatting>
  <conditionalFormatting sqref="I28:K28 I36:K36 H29:K35 H37:K44 N13:Q41 B13:F17 H3:K27 N3:Q3 H2 N2 N4:P5">
    <cfRule type="expression" dxfId="36" priority="21">
      <formula>TEXT(B2,"mmm-yyyy")=TEXT(EDATE(TODAY(),-1),"mmm-yyyy")</formula>
    </cfRule>
  </conditionalFormatting>
  <conditionalFormatting sqref="B11:E11">
    <cfRule type="expression" dxfId="35" priority="14">
      <formula>TEXT(B11,"mmm-yyyy")=TEXT(EDATE(TODAY(),-1),"mmm-yyyy")</formula>
    </cfRule>
  </conditionalFormatting>
  <conditionalFormatting sqref="N6:P6">
    <cfRule type="expression" dxfId="34" priority="12">
      <formula>TEXT(N6,"mmm-yyyy")=TEXT(EDATE(TODAY(),-1),"mmm-yyyy")</formula>
    </cfRule>
    <cfRule type="expression" dxfId="33" priority="13">
      <formula>TEXT(N6,"mmm-yyyy")=TEXT(NOW(),"mmm-yyyy")</formula>
    </cfRule>
  </conditionalFormatting>
  <conditionalFormatting sqref="B12:E12">
    <cfRule type="expression" dxfId="32" priority="9">
      <formula>TEXT(B12,"mmm-yyyy")=TEXT(EDATE(TODAY(),-1),"mmm-yyyy")</formula>
    </cfRule>
  </conditionalFormatting>
  <conditionalFormatting sqref="F13">
    <cfRule type="expression" dxfId="31" priority="7">
      <formula>TEXT(F13,"mmm-yyyy")=TEXT(EDATE(TODAY(),-1),"mmm-yyyy")</formula>
    </cfRule>
    <cfRule type="expression" dxfId="30" priority="8">
      <formula>TEXT(F13,"mmm-yyyy")=TEXT(NOW(),"mmm-yyyy")</formula>
    </cfRule>
  </conditionalFormatting>
  <conditionalFormatting sqref="N10:P10">
    <cfRule type="expression" dxfId="29" priority="5">
      <formula>TEXT(N10,"mmm-yyyy")=TEXT(EDATE(TODAY(),-1),"mmm-yyyy")</formula>
    </cfRule>
    <cfRule type="expression" dxfId="28" priority="6">
      <formula>TEXT(N10,"mmm-yyyy")=TEXT(NOW(),"mmm-yyyy")</formula>
    </cfRule>
  </conditionalFormatting>
  <conditionalFormatting sqref="N11:P12">
    <cfRule type="expression" dxfId="27" priority="3">
      <formula>TEXT(N11,"mmm-yyyy")=TEXT(EDATE(TODAY(),-1),"mmm-yyyy")</formula>
    </cfRule>
    <cfRule type="expression" dxfId="26" priority="4">
      <formula>TEXT(N11,"mmm-yyyy")=TEXT(NOW(),"mmm-yyyy")</formula>
    </cfRule>
  </conditionalFormatting>
  <conditionalFormatting sqref="B8:E8">
    <cfRule type="expression" dxfId="25" priority="1">
      <formula>TEXT(B8,"mmm-yyyy")=TEXT(EDATE(TODAY(),-1),"mmm-yyyy")</formula>
    </cfRule>
    <cfRule type="expression" dxfId="24" priority="2">
      <formula>TEXT(B8,"mmm-yyyy")=TEXT(NOW(),"mmm-yyyy")</formula>
    </cfRule>
  </conditionalFormatting>
  <pageMargins left="0.7" right="0.7" top="0.75" bottom="0.75" header="0.3" footer="0.3"/>
  <pageSetup orientation="portrait" r:id="rId1"/>
  <legacyDrawing r:id="rId2"/>
  <tableParts count="3">
    <tablePart r:id="rId3"/>
    <tablePart r:id="rId4"/>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CDAF87-5DAA-4AB6-9627-CAEBF7B929EB}">
  <sheetPr codeName="Sheet2"/>
  <dimension ref="A1:AA126"/>
  <sheetViews>
    <sheetView zoomScale="80" zoomScaleNormal="80" workbookViewId="0">
      <pane xSplit="1" ySplit="9" topLeftCell="S114" activePane="bottomRight" state="frozen"/>
      <selection pane="topRight" activeCell="B1" sqref="B1"/>
      <selection pane="bottomLeft" activeCell="A5" sqref="A5"/>
      <selection pane="bottomRight" activeCell="Y130" sqref="Y130"/>
    </sheetView>
  </sheetViews>
  <sheetFormatPr defaultColWidth="8.88671875" defaultRowHeight="18" customHeight="1" x14ac:dyDescent="0.25"/>
  <cols>
    <col min="1" max="1" width="24" style="33" bestFit="1" customWidth="1"/>
    <col min="2" max="2" width="13" style="47" customWidth="1"/>
    <col min="3" max="3" width="14.109375" style="47" customWidth="1"/>
    <col min="4" max="4" width="13.88671875" style="47" customWidth="1"/>
    <col min="5" max="6" width="12.6640625" style="47" bestFit="1" customWidth="1"/>
    <col min="7" max="7" width="13.88671875" style="47" customWidth="1"/>
    <col min="8" max="8" width="16.44140625" style="47" customWidth="1"/>
    <col min="9" max="9" width="14.6640625" style="47" customWidth="1"/>
    <col min="10" max="10" width="16.109375" style="47" customWidth="1"/>
    <col min="11" max="11" width="17.33203125" style="47" customWidth="1"/>
    <col min="12" max="12" width="15.5546875" style="47" customWidth="1"/>
    <col min="13" max="13" width="12.6640625" style="49" bestFit="1" customWidth="1"/>
    <col min="14" max="14" width="12.6640625" style="49" hidden="1" customWidth="1"/>
    <col min="15" max="15" width="12.6640625" style="49" customWidth="1"/>
    <col min="16" max="16" width="15.33203125" style="47" customWidth="1"/>
    <col min="17" max="17" width="13.33203125" style="47" customWidth="1"/>
    <col min="18" max="18" width="16.5546875" style="47" customWidth="1"/>
    <col min="19" max="19" width="23.109375" style="47" customWidth="1"/>
    <col min="20" max="21" width="13.33203125" style="47" customWidth="1"/>
    <col min="22" max="23" width="13.33203125" style="50" customWidth="1"/>
    <col min="24" max="24" width="24.6640625" style="50" customWidth="1"/>
    <col min="25" max="25" width="13.33203125" style="50" customWidth="1"/>
    <col min="26" max="26" width="24.6640625" style="50" customWidth="1"/>
    <col min="27" max="27" width="13.33203125" style="64" customWidth="1"/>
    <col min="28" max="16384" width="8.88671875" style="30"/>
  </cols>
  <sheetData>
    <row r="1" spans="1:27" s="29" customFormat="1" ht="21.6" hidden="1" thickBot="1" x14ac:dyDescent="0.35">
      <c r="A1" s="23" t="s">
        <v>162</v>
      </c>
      <c r="B1" s="24" t="s">
        <v>163</v>
      </c>
      <c r="C1" s="24" t="s">
        <v>164</v>
      </c>
      <c r="D1" s="24" t="s">
        <v>165</v>
      </c>
      <c r="E1" s="24" t="s">
        <v>166</v>
      </c>
      <c r="F1" s="24" t="s">
        <v>167</v>
      </c>
      <c r="G1" s="24" t="s">
        <v>168</v>
      </c>
      <c r="H1" s="24" t="s">
        <v>169</v>
      </c>
      <c r="I1" s="24" t="s">
        <v>170</v>
      </c>
      <c r="J1" s="24" t="s">
        <v>187</v>
      </c>
      <c r="K1" s="24" t="s">
        <v>8</v>
      </c>
      <c r="L1" s="25" t="s">
        <v>171</v>
      </c>
      <c r="M1" s="26"/>
      <c r="N1" s="26"/>
      <c r="O1" s="26"/>
      <c r="P1" s="27"/>
      <c r="Q1" s="27"/>
      <c r="R1" s="27"/>
      <c r="S1" s="27"/>
      <c r="T1" s="27"/>
      <c r="U1" s="27"/>
      <c r="V1" s="28"/>
      <c r="W1" s="28"/>
      <c r="X1" s="28"/>
      <c r="Y1" s="28"/>
      <c r="Z1" s="28"/>
      <c r="AA1" s="59"/>
    </row>
    <row r="2" spans="1:27" s="8" customFormat="1" ht="18" hidden="1" customHeight="1" thickBot="1" x14ac:dyDescent="0.3">
      <c r="A2" s="22" t="s">
        <v>175</v>
      </c>
      <c r="B2" s="20" t="s">
        <v>178</v>
      </c>
      <c r="C2" s="20" t="s">
        <v>179</v>
      </c>
      <c r="D2" s="20" t="s">
        <v>180</v>
      </c>
      <c r="E2" s="20" t="s">
        <v>181</v>
      </c>
      <c r="F2" s="20" t="s">
        <v>182</v>
      </c>
      <c r="G2" s="20" t="s">
        <v>183</v>
      </c>
      <c r="H2" s="20" t="s">
        <v>184</v>
      </c>
      <c r="I2" s="20" t="s">
        <v>184</v>
      </c>
      <c r="J2" s="20" t="s">
        <v>185</v>
      </c>
      <c r="K2" s="20" t="s">
        <v>186</v>
      </c>
      <c r="L2" s="21" t="s">
        <v>186</v>
      </c>
      <c r="M2" s="5"/>
      <c r="N2" s="5"/>
      <c r="O2" s="5"/>
      <c r="P2" s="4"/>
      <c r="Q2" s="4"/>
      <c r="R2" s="4"/>
      <c r="S2" s="4"/>
      <c r="T2" s="4"/>
      <c r="U2" s="4"/>
      <c r="V2" s="7"/>
      <c r="W2" s="7"/>
      <c r="X2" s="7"/>
      <c r="Y2" s="7"/>
      <c r="Z2" s="7"/>
      <c r="AA2" s="60"/>
    </row>
    <row r="3" spans="1:27" s="8" customFormat="1" ht="18" hidden="1" customHeight="1" x14ac:dyDescent="0.25">
      <c r="A3" s="17" t="s">
        <v>176</v>
      </c>
      <c r="B3" s="18">
        <v>6</v>
      </c>
      <c r="C3" s="18" t="s">
        <v>201</v>
      </c>
      <c r="D3" s="18">
        <v>1</v>
      </c>
      <c r="E3" s="18">
        <v>1</v>
      </c>
      <c r="F3" s="18">
        <v>2</v>
      </c>
      <c r="G3" s="18">
        <v>3</v>
      </c>
      <c r="H3" s="18">
        <v>4</v>
      </c>
      <c r="I3" s="18">
        <v>4</v>
      </c>
      <c r="J3" s="18" t="s">
        <v>201</v>
      </c>
      <c r="K3" s="18">
        <v>5</v>
      </c>
      <c r="L3" s="19">
        <v>5</v>
      </c>
      <c r="M3" s="5"/>
      <c r="N3" s="5"/>
      <c r="O3" s="5"/>
      <c r="P3" s="4"/>
      <c r="Q3" s="4"/>
      <c r="R3" s="4"/>
      <c r="S3" s="4"/>
      <c r="T3" s="4"/>
      <c r="U3" s="4"/>
      <c r="V3" s="7"/>
      <c r="W3" s="7"/>
      <c r="X3" s="7"/>
      <c r="Y3" s="7"/>
      <c r="Z3" s="7"/>
      <c r="AA3" s="60"/>
    </row>
    <row r="4" spans="1:27" s="8" customFormat="1" ht="18" hidden="1" customHeight="1" x14ac:dyDescent="0.25">
      <c r="A4" s="11" t="s">
        <v>177</v>
      </c>
      <c r="B4" s="9">
        <v>14</v>
      </c>
      <c r="C4" s="9" t="s">
        <v>201</v>
      </c>
      <c r="D4" s="9">
        <v>4</v>
      </c>
      <c r="E4" s="9" t="s">
        <v>201</v>
      </c>
      <c r="F4" s="9">
        <v>6</v>
      </c>
      <c r="G4" s="9">
        <v>8</v>
      </c>
      <c r="H4" s="9">
        <v>10</v>
      </c>
      <c r="I4" s="9">
        <v>10</v>
      </c>
      <c r="J4" s="9">
        <v>2</v>
      </c>
      <c r="K4" s="9">
        <v>12</v>
      </c>
      <c r="L4" s="6">
        <v>12</v>
      </c>
      <c r="M4" s="5"/>
      <c r="N4" s="5"/>
      <c r="O4" s="5"/>
      <c r="P4" s="4"/>
      <c r="Q4" s="4"/>
      <c r="R4" s="4"/>
      <c r="S4" s="4"/>
      <c r="T4" s="4"/>
      <c r="U4" s="4"/>
      <c r="V4" s="7"/>
      <c r="W4" s="7"/>
      <c r="X4" s="7"/>
      <c r="Y4" s="7"/>
      <c r="Z4" s="7"/>
      <c r="AA4" s="60"/>
    </row>
    <row r="5" spans="1:27" s="8" customFormat="1" ht="18" hidden="1" customHeight="1" x14ac:dyDescent="0.25">
      <c r="A5" s="12" t="s">
        <v>173</v>
      </c>
      <c r="B5" s="10">
        <v>4755.8999999999996</v>
      </c>
      <c r="C5" s="10">
        <v>0</v>
      </c>
      <c r="D5" s="10">
        <v>1010</v>
      </c>
      <c r="E5" s="10">
        <v>0</v>
      </c>
      <c r="F5" s="10">
        <v>1769.6</v>
      </c>
      <c r="G5" s="10">
        <v>2516.1</v>
      </c>
      <c r="H5" s="10">
        <v>3251.9</v>
      </c>
      <c r="I5" s="10">
        <v>3262.3</v>
      </c>
      <c r="J5" s="10">
        <v>637.1</v>
      </c>
      <c r="K5" s="10">
        <v>4000.9</v>
      </c>
      <c r="L5" s="13">
        <v>4008.9</v>
      </c>
      <c r="M5" s="5"/>
      <c r="N5" s="5"/>
      <c r="O5" s="5"/>
      <c r="P5" s="4"/>
      <c r="Q5" s="4"/>
      <c r="R5" s="4"/>
      <c r="S5" s="4"/>
      <c r="T5" s="4"/>
      <c r="U5" s="4"/>
      <c r="V5" s="7"/>
      <c r="W5" s="7"/>
      <c r="X5" s="7"/>
      <c r="Y5" s="7"/>
      <c r="Z5" s="7"/>
      <c r="AA5" s="60"/>
    </row>
    <row r="6" spans="1:27" s="8" customFormat="1" ht="18" hidden="1" customHeight="1" x14ac:dyDescent="0.25">
      <c r="A6" s="12" t="s">
        <v>151</v>
      </c>
      <c r="B6" s="10">
        <v>4403.8</v>
      </c>
      <c r="C6" s="10">
        <v>0</v>
      </c>
      <c r="D6" s="10">
        <v>909.4</v>
      </c>
      <c r="E6" s="10">
        <v>0</v>
      </c>
      <c r="F6" s="10">
        <v>1618.7</v>
      </c>
      <c r="G6" s="10">
        <v>2314.9</v>
      </c>
      <c r="H6" s="10">
        <v>3000.4</v>
      </c>
      <c r="I6" s="10">
        <v>3010.8</v>
      </c>
      <c r="J6" s="10">
        <v>586.79999999999995</v>
      </c>
      <c r="K6" s="10">
        <v>3699</v>
      </c>
      <c r="L6" s="13">
        <v>3706.9</v>
      </c>
      <c r="M6" s="5"/>
      <c r="N6" s="5"/>
      <c r="O6" s="5"/>
      <c r="P6" s="4"/>
      <c r="Q6" s="4"/>
      <c r="R6" s="4"/>
      <c r="S6" s="4"/>
      <c r="T6" s="4"/>
      <c r="U6" s="4"/>
      <c r="V6" s="7"/>
      <c r="W6" s="7"/>
      <c r="X6" s="7"/>
      <c r="Y6" s="7"/>
      <c r="Z6" s="7"/>
      <c r="AA6" s="60"/>
    </row>
    <row r="7" spans="1:27" s="8" customFormat="1" ht="18" hidden="1" customHeight="1" thickBot="1" x14ac:dyDescent="0.3">
      <c r="A7" s="14" t="s">
        <v>172</v>
      </c>
      <c r="B7" s="15">
        <v>86.177000000000007</v>
      </c>
      <c r="C7" s="15">
        <v>28.013000000000002</v>
      </c>
      <c r="D7" s="15">
        <v>16.042999999999999</v>
      </c>
      <c r="E7" s="15">
        <v>44.01</v>
      </c>
      <c r="F7" s="15">
        <v>30.07</v>
      </c>
      <c r="G7" s="15">
        <v>44.097000000000001</v>
      </c>
      <c r="H7" s="15">
        <v>58.122999999999998</v>
      </c>
      <c r="I7" s="15">
        <v>58.122999999999998</v>
      </c>
      <c r="J7" s="15">
        <v>34.08</v>
      </c>
      <c r="K7" s="15">
        <v>72.150000000000006</v>
      </c>
      <c r="L7" s="16">
        <v>72.150000000000006</v>
      </c>
      <c r="M7" s="5"/>
      <c r="N7" s="5"/>
      <c r="O7" s="5"/>
      <c r="P7" s="4"/>
      <c r="Q7" s="4"/>
      <c r="R7" s="4"/>
      <c r="S7" s="4"/>
      <c r="T7" s="4"/>
      <c r="U7" s="4"/>
      <c r="V7" s="7"/>
      <c r="W7" s="7"/>
      <c r="X7" s="7"/>
      <c r="Y7" s="7"/>
      <c r="Z7" s="7"/>
      <c r="AA7" s="60"/>
    </row>
    <row r="8" spans="1:27" customFormat="1" ht="18" hidden="1" customHeight="1" thickBot="1" x14ac:dyDescent="0.3">
      <c r="AA8" s="61"/>
    </row>
    <row r="9" spans="1:27" customFormat="1" ht="39.6" x14ac:dyDescent="0.25">
      <c r="A9" s="51" t="s">
        <v>0</v>
      </c>
      <c r="B9" s="37" t="s">
        <v>2</v>
      </c>
      <c r="C9" s="37" t="s">
        <v>3</v>
      </c>
      <c r="D9" s="37" t="s">
        <v>4</v>
      </c>
      <c r="E9" s="37" t="s">
        <v>5</v>
      </c>
      <c r="F9" s="37" t="s">
        <v>6</v>
      </c>
      <c r="G9" s="37" t="s">
        <v>7</v>
      </c>
      <c r="H9" s="37" t="s">
        <v>9</v>
      </c>
      <c r="I9" s="37" t="s">
        <v>10</v>
      </c>
      <c r="J9" s="37" t="s">
        <v>160</v>
      </c>
      <c r="K9" s="37" t="s">
        <v>11</v>
      </c>
      <c r="L9" s="37" t="s">
        <v>12</v>
      </c>
      <c r="M9" s="38" t="s">
        <v>159</v>
      </c>
      <c r="N9" s="38" t="s">
        <v>158</v>
      </c>
      <c r="O9" s="38" t="s">
        <v>196</v>
      </c>
      <c r="P9" s="37" t="s">
        <v>152</v>
      </c>
      <c r="Q9" s="37" t="s">
        <v>153</v>
      </c>
      <c r="R9" s="37" t="s">
        <v>154</v>
      </c>
      <c r="S9" s="37" t="s">
        <v>155</v>
      </c>
      <c r="T9" s="37" t="s">
        <v>156</v>
      </c>
      <c r="U9" s="37" t="s">
        <v>157</v>
      </c>
      <c r="V9" s="39" t="s">
        <v>161</v>
      </c>
      <c r="W9" s="40" t="s">
        <v>174</v>
      </c>
      <c r="X9" s="41" t="s">
        <v>291</v>
      </c>
      <c r="Y9" s="40" t="s">
        <v>292</v>
      </c>
      <c r="Z9" s="41" t="s">
        <v>293</v>
      </c>
      <c r="AA9" s="62" t="s">
        <v>294</v>
      </c>
    </row>
    <row r="10" spans="1:27" s="33" customFormat="1" ht="16.2" customHeight="1" x14ac:dyDescent="0.25">
      <c r="A10" s="52">
        <v>45724</v>
      </c>
      <c r="B10" s="42">
        <v>0.16159999999999999</v>
      </c>
      <c r="C10" s="42">
        <v>24.1876</v>
      </c>
      <c r="D10" s="42">
        <v>39.366799999999998</v>
      </c>
      <c r="E10" s="42">
        <v>34.372900000000001</v>
      </c>
      <c r="F10" s="42">
        <v>1.1578999999999999</v>
      </c>
      <c r="G10" s="42">
        <v>0.40529999999999999</v>
      </c>
      <c r="H10" s="42">
        <v>0.1071</v>
      </c>
      <c r="I10" s="42">
        <v>0.1275</v>
      </c>
      <c r="J10" s="42">
        <v>4.3E-3</v>
      </c>
      <c r="K10" s="42">
        <v>6.4100000000000004E-2</v>
      </c>
      <c r="L10" s="42">
        <v>4.4900000000000002E-2</v>
      </c>
      <c r="M10" s="43">
        <f t="shared" ref="M10:M41" si="0">J10*10000</f>
        <v>43</v>
      </c>
      <c r="N10" s="43"/>
      <c r="O10" s="43">
        <f t="shared" ref="O10:O41" si="1">SUM(C10,E10)</f>
        <v>58.560500000000005</v>
      </c>
      <c r="P10" s="44">
        <f t="shared" ref="P10:P41" si="2">SUMPRODUCT($B$6:$L$6,B10:L10)/SUM(B10:L10)</f>
        <v>404.35632490000012</v>
      </c>
      <c r="Q10" s="44" cm="1">
        <f t="array" ref="Q10">SUMPRODUCT(B10:L10/100,$B$7:$L$7)</f>
        <v>29.101434603000005</v>
      </c>
      <c r="R10" s="44">
        <f t="shared" ref="R10:R41" si="3">Q10/28.96</f>
        <v>1.0048837915400555</v>
      </c>
      <c r="S10" s="44">
        <f t="shared" ref="S10:S41" si="4">T10/SQRT(R10)</f>
        <v>446.92234324321061</v>
      </c>
      <c r="T10" s="44">
        <f t="shared" ref="T10:T41" si="5">SUMPRODUCT($B$5:$L$5,B10:L10)/SUM(B10:L10)</f>
        <v>448.01235180000003</v>
      </c>
      <c r="U10" s="44">
        <f t="shared" ref="U10:U41" si="6">Q10/379.3</f>
        <v>7.6724056427629861E-2</v>
      </c>
      <c r="V10" s="45">
        <f t="shared" ref="V10:V41" si="7">P10/U10</f>
        <v>5270.2678107408219</v>
      </c>
      <c r="W10" s="46">
        <f t="shared" ref="W10:W41" si="8">SUMPRODUCT($B$4:$L$4, B10:L10) / (SUMPRODUCT($B$3:$L$3, B10:L10) - E10)</f>
        <v>3.8274808991984832</v>
      </c>
      <c r="X10" s="47">
        <v>484.19</v>
      </c>
      <c r="Y10" s="46">
        <v>36.450000000000003</v>
      </c>
      <c r="Z10" s="47">
        <f>IF(Daily_fuel_gas_composition[[#This Row],[UCH 1 GCV]]&lt;400,0,(Daily_fuel_gas_composition[[#This Row],[UCH 1 GCV]]/(Daily_fuel_gas_composition[[#This Row],[HHV Calculated. 
(BTU/scf)]]/Daily_fuel_gas_composition[[#This Row],[LHV (BTU/scf)]]))/(0.997495*Daily_fuel_gas_composition[[#This Row],[Calculated Density
 (lb/scf)]]))</f>
        <v>5710.1535267443296</v>
      </c>
      <c r="AA10" s="63"/>
    </row>
    <row r="11" spans="1:27" s="33" customFormat="1" ht="16.2" customHeight="1" x14ac:dyDescent="0.25">
      <c r="A11" s="52">
        <v>45962</v>
      </c>
      <c r="B11" s="42">
        <v>0.16650000000000001</v>
      </c>
      <c r="C11" s="42">
        <v>26.847000000000001</v>
      </c>
      <c r="D11" s="42">
        <v>41.427199999999999</v>
      </c>
      <c r="E11" s="42">
        <v>29.817900000000002</v>
      </c>
      <c r="F11" s="42">
        <v>1.0388999999999999</v>
      </c>
      <c r="G11" s="42">
        <v>0.42149999999999999</v>
      </c>
      <c r="H11" s="42">
        <v>0.10589999999999999</v>
      </c>
      <c r="I11" s="42">
        <v>0.1105</v>
      </c>
      <c r="J11" s="42">
        <v>1E-4</v>
      </c>
      <c r="K11" s="42">
        <v>6.1899999999999997E-2</v>
      </c>
      <c r="L11" s="42">
        <v>2.7000000000000001E-3</v>
      </c>
      <c r="M11" s="43">
        <f t="shared" si="0"/>
        <v>1</v>
      </c>
      <c r="N11" s="43"/>
      <c r="O11" s="43">
        <f t="shared" si="1"/>
        <v>56.664900000000003</v>
      </c>
      <c r="P11" s="44">
        <f t="shared" si="2"/>
        <v>419.53955376044615</v>
      </c>
      <c r="Q11" s="44" cm="1">
        <f t="array" ref="Q11">SUMPRODUCT(B11:L11/100,$B$7:$L$7)</f>
        <v>28.103845537999995</v>
      </c>
      <c r="R11" s="44">
        <f t="shared" si="3"/>
        <v>0.97043665531767931</v>
      </c>
      <c r="S11" s="44">
        <f t="shared" si="4"/>
        <v>471.98568073329614</v>
      </c>
      <c r="T11" s="44">
        <f t="shared" si="5"/>
        <v>464.95660254339748</v>
      </c>
      <c r="U11" s="44">
        <f t="shared" si="6"/>
        <v>7.4093977163195338E-2</v>
      </c>
      <c r="V11" s="45">
        <f t="shared" si="7"/>
        <v>5662.2625727917302</v>
      </c>
      <c r="W11" s="46">
        <f t="shared" si="8"/>
        <v>3.8457357886240859</v>
      </c>
      <c r="X11" s="47">
        <v>0</v>
      </c>
      <c r="Y11" s="46">
        <v>0</v>
      </c>
      <c r="Z11" s="47">
        <f>IF(Daily_fuel_gas_composition[[#This Row],[UCH 1 GCV]]&lt;400,0,(Daily_fuel_gas_composition[[#This Row],[UCH 1 GCV]]/(Daily_fuel_gas_composition[[#This Row],[HHV Calculated. 
(BTU/scf)]]/Daily_fuel_gas_composition[[#This Row],[LHV (BTU/scf)]]))/(0.997495*Daily_fuel_gas_composition[[#This Row],[Calculated Density
 (lb/scf)]]))</f>
        <v>0</v>
      </c>
      <c r="AA11" s="63"/>
    </row>
    <row r="12" spans="1:27" s="33" customFormat="1" ht="16.2" customHeight="1" x14ac:dyDescent="0.25">
      <c r="A12" s="52">
        <v>45963</v>
      </c>
      <c r="B12" s="42">
        <v>0.16889999999999999</v>
      </c>
      <c r="C12" s="42">
        <v>25.901199999999999</v>
      </c>
      <c r="D12" s="42">
        <v>41.543799999999997</v>
      </c>
      <c r="E12" s="42">
        <v>30.618200000000002</v>
      </c>
      <c r="F12" s="42">
        <v>1.0481</v>
      </c>
      <c r="G12" s="42">
        <v>0.4244</v>
      </c>
      <c r="H12" s="42">
        <v>0.1065</v>
      </c>
      <c r="I12" s="42">
        <v>0.1142</v>
      </c>
      <c r="J12" s="42">
        <v>0</v>
      </c>
      <c r="K12" s="42">
        <v>6.2199999999999998E-2</v>
      </c>
      <c r="L12" s="42">
        <v>1.21E-2</v>
      </c>
      <c r="M12" s="43">
        <f t="shared" si="0"/>
        <v>0</v>
      </c>
      <c r="N12" s="43"/>
      <c r="O12" s="43">
        <f t="shared" si="1"/>
        <v>56.519400000000005</v>
      </c>
      <c r="P12" s="44">
        <f t="shared" si="2"/>
        <v>421.41212384849524</v>
      </c>
      <c r="Q12" s="44" cm="1">
        <f t="array" ref="Q12">SUMPRODUCT(B12:L12/100,$B$7:$L$7)</f>
        <v>28.225394012000002</v>
      </c>
      <c r="R12" s="44">
        <f t="shared" si="3"/>
        <v>0.97463377113259675</v>
      </c>
      <c r="S12" s="44">
        <f t="shared" si="4"/>
        <v>473.05325285745897</v>
      </c>
      <c r="T12" s="44">
        <f t="shared" si="5"/>
        <v>467.01492595970376</v>
      </c>
      <c r="U12" s="44">
        <f t="shared" si="6"/>
        <v>7.4414431879778545E-2</v>
      </c>
      <c r="V12" s="45">
        <f t="shared" si="7"/>
        <v>5663.0429501808803</v>
      </c>
      <c r="W12" s="46">
        <f t="shared" si="8"/>
        <v>3.8431271976583727</v>
      </c>
      <c r="X12" s="47">
        <v>444.94</v>
      </c>
      <c r="Y12" s="46">
        <v>0</v>
      </c>
      <c r="Z12" s="47">
        <f>IF(Daily_fuel_gas_composition[[#This Row],[UCH 1 GCV]]&lt;400,0,(Daily_fuel_gas_composition[[#This Row],[UCH 1 GCV]]/(Daily_fuel_gas_composition[[#This Row],[HHV Calculated. 
(BTU/scf)]]/Daily_fuel_gas_composition[[#This Row],[LHV (BTU/scf)]]))/(0.997495*Daily_fuel_gas_composition[[#This Row],[Calculated Density
 (lb/scf)]]))</f>
        <v>5408.9107761104779</v>
      </c>
      <c r="AA12" s="63"/>
    </row>
    <row r="13" spans="1:27" s="33" customFormat="1" ht="16.2" customHeight="1" x14ac:dyDescent="0.25">
      <c r="A13" s="52">
        <v>45964</v>
      </c>
      <c r="B13" s="42">
        <v>0.17150000000000001</v>
      </c>
      <c r="C13" s="42">
        <v>25.6403</v>
      </c>
      <c r="D13" s="42">
        <v>42.2226</v>
      </c>
      <c r="E13" s="42">
        <v>30.148199999999999</v>
      </c>
      <c r="F13" s="42">
        <v>1.0702</v>
      </c>
      <c r="G13" s="42">
        <v>0.43330000000000002</v>
      </c>
      <c r="H13" s="42">
        <v>0.1085</v>
      </c>
      <c r="I13" s="42">
        <v>0.1193</v>
      </c>
      <c r="J13" s="42">
        <v>1.1000000000000001E-3</v>
      </c>
      <c r="K13" s="42">
        <v>6.3200000000000006E-2</v>
      </c>
      <c r="L13" s="42">
        <v>2.18E-2</v>
      </c>
      <c r="M13" s="43">
        <f t="shared" si="0"/>
        <v>11</v>
      </c>
      <c r="N13" s="43"/>
      <c r="O13" s="43">
        <f t="shared" si="1"/>
        <v>55.788499999999999</v>
      </c>
      <c r="P13" s="44">
        <f t="shared" si="2"/>
        <v>428.87827590000001</v>
      </c>
      <c r="Q13" s="44" cm="1">
        <f t="array" ref="Q13">SUMPRODUCT(B13:L13/100,$B$7:$L$7)</f>
        <v>28.079393347</v>
      </c>
      <c r="R13" s="44">
        <f t="shared" si="3"/>
        <v>0.96959231170580107</v>
      </c>
      <c r="S13" s="44">
        <f t="shared" si="4"/>
        <v>482.66999170802222</v>
      </c>
      <c r="T13" s="44">
        <f t="shared" si="5"/>
        <v>475.27490150000006</v>
      </c>
      <c r="U13" s="44">
        <f t="shared" si="6"/>
        <v>7.4029510537832854E-2</v>
      </c>
      <c r="V13" s="45">
        <f t="shared" si="7"/>
        <v>5793.3420440598666</v>
      </c>
      <c r="W13" s="46">
        <f t="shared" si="8"/>
        <v>3.8410680414174214</v>
      </c>
      <c r="X13" s="47">
        <v>210.6</v>
      </c>
      <c r="Y13" s="46">
        <v>1.79</v>
      </c>
      <c r="Z13" s="47">
        <f>IF(Daily_fuel_gas_composition[[#This Row],[UCH 1 GCV]]&lt;400,0,(Daily_fuel_gas_composition[[#This Row],[UCH 1 GCV]]/(Daily_fuel_gas_composition[[#This Row],[HHV Calculated. 
(BTU/scf)]]/Daily_fuel_gas_composition[[#This Row],[LHV (BTU/scf)]]))/(0.997495*Daily_fuel_gas_composition[[#This Row],[Calculated Density
 (lb/scf)]]))</f>
        <v>0</v>
      </c>
      <c r="AA13" s="63"/>
    </row>
    <row r="14" spans="1:27" s="33" customFormat="1" ht="16.2" customHeight="1" x14ac:dyDescent="0.25">
      <c r="A14" s="52">
        <v>45965</v>
      </c>
      <c r="B14" s="42">
        <v>0.16669999999999999</v>
      </c>
      <c r="C14" s="42">
        <v>25.270900000000001</v>
      </c>
      <c r="D14" s="42">
        <v>41.685200000000002</v>
      </c>
      <c r="E14" s="42">
        <v>31.073599999999999</v>
      </c>
      <c r="F14" s="42">
        <v>1.0669999999999999</v>
      </c>
      <c r="G14" s="42">
        <v>0.42959999999999998</v>
      </c>
      <c r="H14" s="42">
        <v>0.1077</v>
      </c>
      <c r="I14" s="42">
        <v>0.1172</v>
      </c>
      <c r="J14" s="42">
        <v>1.9E-3</v>
      </c>
      <c r="K14" s="42">
        <v>6.2799999999999995E-2</v>
      </c>
      <c r="L14" s="42">
        <v>1.7399999999999999E-2</v>
      </c>
      <c r="M14" s="43">
        <f t="shared" si="0"/>
        <v>19</v>
      </c>
      <c r="N14" s="43"/>
      <c r="O14" s="43">
        <f t="shared" si="1"/>
        <v>56.344499999999996</v>
      </c>
      <c r="P14" s="44">
        <f t="shared" si="2"/>
        <v>423.38189300000016</v>
      </c>
      <c r="Q14" s="44" cm="1">
        <f t="array" ref="Q14">SUMPRODUCT(B14:L14/100,$B$7:$L$7)</f>
        <v>28.285360331</v>
      </c>
      <c r="R14" s="44">
        <f t="shared" si="3"/>
        <v>0.97670443131906071</v>
      </c>
      <c r="S14" s="44">
        <f t="shared" si="4"/>
        <v>474.74970115708527</v>
      </c>
      <c r="T14" s="44">
        <f t="shared" si="5"/>
        <v>469.18733350000025</v>
      </c>
      <c r="U14" s="44">
        <f t="shared" si="6"/>
        <v>7.4572529214342209E-2</v>
      </c>
      <c r="V14" s="45">
        <f t="shared" si="7"/>
        <v>5677.4511668108071</v>
      </c>
      <c r="W14" s="46">
        <f t="shared" si="8"/>
        <v>3.8416623074197198</v>
      </c>
      <c r="X14" s="47">
        <v>473.64499999999998</v>
      </c>
      <c r="Y14" s="46">
        <v>0</v>
      </c>
      <c r="Z14" s="47">
        <f>IF(Daily_fuel_gas_composition[[#This Row],[UCH 1 GCV]]&lt;400,0,(Daily_fuel_gas_composition[[#This Row],[UCH 1 GCV]]/(Daily_fuel_gas_composition[[#This Row],[HHV Calculated. 
(BTU/scf)]]/Daily_fuel_gas_composition[[#This Row],[LHV (BTU/scf)]]))/(0.997495*Daily_fuel_gas_composition[[#This Row],[Calculated Density
 (lb/scf)]]))</f>
        <v>5745.7848247802622</v>
      </c>
      <c r="AA14" s="63"/>
    </row>
    <row r="15" spans="1:27" s="33" customFormat="1" ht="16.2" customHeight="1" x14ac:dyDescent="0.25">
      <c r="A15" s="52">
        <v>45966</v>
      </c>
      <c r="B15" s="42">
        <v>0.16270000000000001</v>
      </c>
      <c r="C15" s="42">
        <v>24.818300000000001</v>
      </c>
      <c r="D15" s="42">
        <v>41.548099999999998</v>
      </c>
      <c r="E15" s="42">
        <v>31.680199999999999</v>
      </c>
      <c r="F15" s="42">
        <v>1.0689</v>
      </c>
      <c r="G15" s="42">
        <v>0.42709999999999998</v>
      </c>
      <c r="H15" s="42">
        <v>0.1069</v>
      </c>
      <c r="I15" s="42">
        <v>0.1139</v>
      </c>
      <c r="J15" s="42">
        <v>2.3E-3</v>
      </c>
      <c r="K15" s="42">
        <v>6.2199999999999998E-2</v>
      </c>
      <c r="L15" s="42">
        <v>9.4000000000000004E-3</v>
      </c>
      <c r="M15" s="43">
        <f t="shared" si="0"/>
        <v>23</v>
      </c>
      <c r="N15" s="43"/>
      <c r="O15" s="43">
        <f t="shared" si="1"/>
        <v>56.4985</v>
      </c>
      <c r="P15" s="44">
        <f t="shared" si="2"/>
        <v>421.49207799999999</v>
      </c>
      <c r="Q15" s="44" cm="1">
        <f t="array" ref="Q15">SUMPRODUCT(B15:L15/100,$B$7:$L$7)</f>
        <v>28.391113401999998</v>
      </c>
      <c r="R15" s="44">
        <f t="shared" si="3"/>
        <v>0.98035612575966846</v>
      </c>
      <c r="S15" s="44">
        <f t="shared" si="4"/>
        <v>471.76388443207412</v>
      </c>
      <c r="T15" s="44">
        <f t="shared" si="5"/>
        <v>467.10726729999993</v>
      </c>
      <c r="U15" s="44">
        <f t="shared" si="6"/>
        <v>7.4851340369100974E-2</v>
      </c>
      <c r="V15" s="45">
        <f t="shared" si="7"/>
        <v>5631.0558491213624</v>
      </c>
      <c r="W15" s="46">
        <f t="shared" si="8"/>
        <v>3.8438855050164666</v>
      </c>
      <c r="X15" s="47">
        <v>473.54399999999998</v>
      </c>
      <c r="Y15" s="46">
        <v>17.100000000000001</v>
      </c>
      <c r="Z15" s="47">
        <f>IF(Daily_fuel_gas_composition[[#This Row],[UCH 1 GCV]]&lt;400,0,(Daily_fuel_gas_composition[[#This Row],[UCH 1 GCV]]/(Daily_fuel_gas_composition[[#This Row],[HHV Calculated. 
(BTU/scf)]]/Daily_fuel_gas_composition[[#This Row],[LHV (BTU/scf)]]))/(0.997495*Daily_fuel_gas_composition[[#This Row],[Calculated Density
 (lb/scf)]]))</f>
        <v>5722.9878175842832</v>
      </c>
      <c r="AA15" s="63"/>
    </row>
    <row r="16" spans="1:27" s="33" customFormat="1" ht="16.2" customHeight="1" x14ac:dyDescent="0.25">
      <c r="A16" s="52">
        <v>45971</v>
      </c>
      <c r="B16" s="42">
        <v>0.15490000000000001</v>
      </c>
      <c r="C16" s="42">
        <v>27.400400000000001</v>
      </c>
      <c r="D16" s="42">
        <v>41.322600000000001</v>
      </c>
      <c r="E16" s="42">
        <v>29.387</v>
      </c>
      <c r="F16" s="42">
        <v>1.0343</v>
      </c>
      <c r="G16" s="42">
        <v>0.42230000000000001</v>
      </c>
      <c r="H16" s="42">
        <v>0.1062</v>
      </c>
      <c r="I16" s="42">
        <v>0.1091</v>
      </c>
      <c r="J16" s="42">
        <v>1.1000000000000001E-3</v>
      </c>
      <c r="K16" s="42">
        <v>6.2E-2</v>
      </c>
      <c r="L16" s="42">
        <v>0</v>
      </c>
      <c r="M16" s="43">
        <f t="shared" si="0"/>
        <v>11</v>
      </c>
      <c r="N16" s="43"/>
      <c r="O16" s="43">
        <f t="shared" si="1"/>
        <v>56.787400000000005</v>
      </c>
      <c r="P16" s="44">
        <f t="shared" si="2"/>
        <v>417.89870769870771</v>
      </c>
      <c r="Q16" s="44" cm="1">
        <f t="array" ref="Q16">SUMPRODUCT(B16:L16/100,$B$7:$L$7)</f>
        <v>28.039247983000003</v>
      </c>
      <c r="R16" s="44">
        <f t="shared" si="3"/>
        <v>0.96820607676104975</v>
      </c>
      <c r="S16" s="44">
        <f t="shared" si="4"/>
        <v>470.69742797255827</v>
      </c>
      <c r="T16" s="44">
        <f t="shared" si="5"/>
        <v>463.15432855432852</v>
      </c>
      <c r="U16" s="44">
        <f t="shared" si="6"/>
        <v>7.3923669873451101E-2</v>
      </c>
      <c r="V16" s="45">
        <f t="shared" si="7"/>
        <v>5653.1109509863709</v>
      </c>
      <c r="W16" s="46">
        <f t="shared" si="8"/>
        <v>3.8483191363318463</v>
      </c>
      <c r="X16" s="47">
        <v>469.08</v>
      </c>
      <c r="Y16" s="46">
        <v>9.6</v>
      </c>
      <c r="Z16" s="47">
        <f>IF(Daily_fuel_gas_composition[[#This Row],[UCH 1 GCV]]&lt;400,0,(Daily_fuel_gas_composition[[#This Row],[UCH 1 GCV]]/(Daily_fuel_gas_composition[[#This Row],[HHV Calculated. 
(BTU/scf)]]/Daily_fuel_gas_composition[[#This Row],[LHV (BTU/scf)]]))/(0.997495*Daily_fuel_gas_composition[[#This Row],[Calculated Density
 (lb/scf)]]))</f>
        <v>5739.8160066022192</v>
      </c>
      <c r="AA16" s="63"/>
    </row>
    <row r="17" spans="1:27" s="33" customFormat="1" ht="16.2" customHeight="1" x14ac:dyDescent="0.25">
      <c r="A17" s="52">
        <v>45974</v>
      </c>
      <c r="B17" s="42">
        <v>0.20200000000000001</v>
      </c>
      <c r="C17" s="42">
        <v>27.1754</v>
      </c>
      <c r="D17" s="42">
        <v>41.6265</v>
      </c>
      <c r="E17" s="42">
        <v>29.183399999999999</v>
      </c>
      <c r="F17" s="42">
        <v>1.0503</v>
      </c>
      <c r="G17" s="42">
        <v>0.42680000000000001</v>
      </c>
      <c r="H17" s="42">
        <v>0.10929999999999999</v>
      </c>
      <c r="I17" s="42">
        <v>0.12889999999999999</v>
      </c>
      <c r="J17" s="42">
        <v>0</v>
      </c>
      <c r="K17" s="42">
        <v>6.6699999999999995E-2</v>
      </c>
      <c r="L17" s="42">
        <v>3.0700000000000002E-2</v>
      </c>
      <c r="M17" s="43">
        <f t="shared" si="0"/>
        <v>0</v>
      </c>
      <c r="N17" s="43"/>
      <c r="O17" s="43">
        <f t="shared" si="1"/>
        <v>56.358800000000002</v>
      </c>
      <c r="P17" s="44">
        <f t="shared" si="2"/>
        <v>425.09387600000008</v>
      </c>
      <c r="Q17" s="44" cm="1">
        <f t="array" ref="Q17">SUMPRODUCT(B17:L17/100,$B$7:$L$7)</f>
        <v>28.021230368999998</v>
      </c>
      <c r="R17" s="44">
        <f t="shared" si="3"/>
        <v>0.96758392158149165</v>
      </c>
      <c r="S17" s="44">
        <f t="shared" si="4"/>
        <v>478.8432017290674</v>
      </c>
      <c r="T17" s="44">
        <f t="shared" si="5"/>
        <v>471.01815560000017</v>
      </c>
      <c r="U17" s="44">
        <f t="shared" si="6"/>
        <v>7.387616759557078E-2</v>
      </c>
      <c r="V17" s="45">
        <f t="shared" si="7"/>
        <v>5754.1408797373297</v>
      </c>
      <c r="W17" s="46">
        <f t="shared" si="8"/>
        <v>3.831382332514325</v>
      </c>
      <c r="X17" s="47">
        <v>469.96</v>
      </c>
      <c r="Y17" s="46">
        <v>9.5</v>
      </c>
      <c r="Z17" s="47">
        <f>IF(Daily_fuel_gas_composition[[#This Row],[UCH 1 GCV]]&lt;400,0,(Daily_fuel_gas_composition[[#This Row],[UCH 1 GCV]]/(Daily_fuel_gas_composition[[#This Row],[HHV Calculated. 
(BTU/scf)]]/Daily_fuel_gas_composition[[#This Row],[LHV (BTU/scf)]]))/(0.997495*Daily_fuel_gas_composition[[#This Row],[Calculated Density
 (lb/scf)]]))</f>
        <v>5755.6318975120512</v>
      </c>
      <c r="AA17" s="63"/>
    </row>
    <row r="18" spans="1:27" s="33" customFormat="1" ht="16.2" customHeight="1" x14ac:dyDescent="0.25">
      <c r="A18" s="52">
        <v>45975</v>
      </c>
      <c r="B18" s="42">
        <v>0.2233</v>
      </c>
      <c r="C18" s="42">
        <v>27.2544</v>
      </c>
      <c r="D18" s="42">
        <v>41.072099999999999</v>
      </c>
      <c r="E18" s="42">
        <v>29.647200000000002</v>
      </c>
      <c r="F18" s="42">
        <v>1.0448999999999999</v>
      </c>
      <c r="G18" s="42">
        <v>0.4234</v>
      </c>
      <c r="H18" s="42">
        <v>0.109</v>
      </c>
      <c r="I18" s="42">
        <v>0.12790000000000001</v>
      </c>
      <c r="J18" s="42">
        <v>2.0000000000000001E-4</v>
      </c>
      <c r="K18" s="42">
        <v>6.6699999999999995E-2</v>
      </c>
      <c r="L18" s="42">
        <v>3.09E-2</v>
      </c>
      <c r="M18" s="43">
        <f t="shared" si="0"/>
        <v>2</v>
      </c>
      <c r="N18" s="43"/>
      <c r="O18" s="43">
        <f t="shared" si="1"/>
        <v>56.901600000000002</v>
      </c>
      <c r="P18" s="44">
        <f t="shared" si="2"/>
        <v>420.79353359999999</v>
      </c>
      <c r="Q18" s="44" cm="1">
        <f t="array" ref="Q18">SUMPRODUCT(B18:L18/100,$B$7:$L$7)</f>
        <v>28.173226110999998</v>
      </c>
      <c r="R18" s="44">
        <f t="shared" si="3"/>
        <v>0.97283239333563531</v>
      </c>
      <c r="S18" s="44">
        <f t="shared" si="4"/>
        <v>472.68256912188866</v>
      </c>
      <c r="T18" s="44">
        <f t="shared" si="5"/>
        <v>466.21752979999997</v>
      </c>
      <c r="U18" s="44">
        <f t="shared" si="6"/>
        <v>7.4276894571579224E-2</v>
      </c>
      <c r="V18" s="45">
        <f t="shared" si="7"/>
        <v>5665.2009487888499</v>
      </c>
      <c r="W18" s="46">
        <f t="shared" si="8"/>
        <v>3.8259132553090076</v>
      </c>
      <c r="X18" s="47">
        <v>464.76299999999998</v>
      </c>
      <c r="Y18" s="46">
        <v>11.02</v>
      </c>
      <c r="Z18" s="47">
        <f>IF(Daily_fuel_gas_composition[[#This Row],[UCH 1 GCV]]&lt;400,0,(Daily_fuel_gas_composition[[#This Row],[UCH 1 GCV]]/(Daily_fuel_gas_composition[[#This Row],[HHV Calculated. 
(BTU/scf)]]/Daily_fuel_gas_composition[[#This Row],[LHV (BTU/scf)]]))/(0.997495*Daily_fuel_gas_composition[[#This Row],[Calculated Density
 (lb/scf)]]))</f>
        <v>5661.7089398698881</v>
      </c>
      <c r="AA18" s="63"/>
    </row>
    <row r="19" spans="1:27" s="33" customFormat="1" ht="16.2" customHeight="1" x14ac:dyDescent="0.25">
      <c r="A19" s="52">
        <v>45977</v>
      </c>
      <c r="B19" s="42">
        <v>0.2102</v>
      </c>
      <c r="C19" s="42">
        <v>25.3294</v>
      </c>
      <c r="D19" s="42">
        <v>41.436799999999998</v>
      </c>
      <c r="E19" s="42">
        <v>31.103899999999999</v>
      </c>
      <c r="F19" s="42">
        <v>1.1026</v>
      </c>
      <c r="G19" s="42">
        <v>0.42020000000000002</v>
      </c>
      <c r="H19" s="42">
        <v>0.108</v>
      </c>
      <c r="I19" s="42">
        <v>0.17660000000000001</v>
      </c>
      <c r="J19" s="42">
        <v>1.4E-3</v>
      </c>
      <c r="K19" s="42">
        <v>6.7100000000000007E-2</v>
      </c>
      <c r="L19" s="42">
        <v>4.3999999999999997E-2</v>
      </c>
      <c r="M19" s="43">
        <f t="shared" si="0"/>
        <v>14</v>
      </c>
      <c r="N19" s="43"/>
      <c r="O19" s="43">
        <f t="shared" si="1"/>
        <v>56.433300000000003</v>
      </c>
      <c r="P19" s="44">
        <f t="shared" si="2"/>
        <v>426.33597512804977</v>
      </c>
      <c r="Q19" s="44" cm="1">
        <f t="array" ref="Q19">SUMPRODUCT(B19:L19/100,$B$7:$L$7)</f>
        <v>28.376102331999995</v>
      </c>
      <c r="R19" s="44">
        <f t="shared" si="3"/>
        <v>0.97983778770718211</v>
      </c>
      <c r="S19" s="44">
        <f t="shared" si="4"/>
        <v>477.15738025129525</v>
      </c>
      <c r="T19" s="44">
        <f t="shared" si="5"/>
        <v>472.32261205477596</v>
      </c>
      <c r="U19" s="44">
        <f t="shared" si="6"/>
        <v>7.4811764650672269E-2</v>
      </c>
      <c r="V19" s="45">
        <f t="shared" si="7"/>
        <v>5698.782499233811</v>
      </c>
      <c r="W19" s="46">
        <f t="shared" si="8"/>
        <v>3.8206850726215427</v>
      </c>
      <c r="X19" s="47">
        <v>472.83</v>
      </c>
      <c r="Y19" s="46">
        <v>0</v>
      </c>
      <c r="Z19" s="47">
        <f>IF(Daily_fuel_gas_composition[[#This Row],[UCH 1 GCV]]&lt;400,0,(Daily_fuel_gas_composition[[#This Row],[UCH 1 GCV]]/(Daily_fuel_gas_composition[[#This Row],[HHV Calculated. 
(BTU/scf)]]/Daily_fuel_gas_composition[[#This Row],[LHV (BTU/scf)]]))/(0.997495*Daily_fuel_gas_composition[[#This Row],[Calculated Density
 (lb/scf)]]))</f>
        <v>5719.2310343228746</v>
      </c>
      <c r="AA19" s="63"/>
    </row>
    <row r="20" spans="1:27" s="33" customFormat="1" ht="16.2" customHeight="1" x14ac:dyDescent="0.25">
      <c r="A20" s="52">
        <v>45978</v>
      </c>
      <c r="B20" s="42">
        <v>0.15260000000000001</v>
      </c>
      <c r="C20" s="42">
        <v>26.285699999999999</v>
      </c>
      <c r="D20" s="42">
        <v>40.9636</v>
      </c>
      <c r="E20" s="42">
        <v>30.828199999999999</v>
      </c>
      <c r="F20" s="42">
        <v>1.0364</v>
      </c>
      <c r="G20" s="42">
        <v>0.4153</v>
      </c>
      <c r="H20" s="42">
        <v>0.1043</v>
      </c>
      <c r="I20" s="42">
        <v>0.1237</v>
      </c>
      <c r="J20" s="42">
        <v>1.6999999999999999E-3</v>
      </c>
      <c r="K20" s="42">
        <v>6.0900000000000003E-2</v>
      </c>
      <c r="L20" s="42">
        <v>2.76E-2</v>
      </c>
      <c r="M20" s="43">
        <f t="shared" si="0"/>
        <v>17</v>
      </c>
      <c r="N20" s="43"/>
      <c r="O20" s="43">
        <f t="shared" si="1"/>
        <v>57.113900000000001</v>
      </c>
      <c r="P20" s="44">
        <f t="shared" si="2"/>
        <v>415.77271150000007</v>
      </c>
      <c r="Q20" s="44" cm="1">
        <f t="array" ref="Q20">SUMPRODUCT(B20:L20/100,$B$7:$L$7)</f>
        <v>28.325933282000001</v>
      </c>
      <c r="R20" s="44">
        <f t="shared" si="3"/>
        <v>0.97810543100828728</v>
      </c>
      <c r="S20" s="44">
        <f t="shared" si="4"/>
        <v>465.8888373729385</v>
      </c>
      <c r="T20" s="44">
        <f t="shared" si="5"/>
        <v>460.76039309999999</v>
      </c>
      <c r="U20" s="44">
        <f t="shared" si="6"/>
        <v>7.4679497184286847E-2</v>
      </c>
      <c r="V20" s="45">
        <f t="shared" si="7"/>
        <v>5567.4278373084962</v>
      </c>
      <c r="W20" s="46">
        <f t="shared" si="8"/>
        <v>3.842487175741744</v>
      </c>
      <c r="X20" s="47">
        <v>0</v>
      </c>
      <c r="Y20" s="46">
        <v>0</v>
      </c>
      <c r="Z20" s="47">
        <f>IF(Daily_fuel_gas_composition[[#This Row],[UCH 1 GCV]]&lt;400,0,(Daily_fuel_gas_composition[[#This Row],[UCH 1 GCV]]/(Daily_fuel_gas_composition[[#This Row],[HHV Calculated. 
(BTU/scf)]]/Daily_fuel_gas_composition[[#This Row],[LHV (BTU/scf)]]))/(0.997495*Daily_fuel_gas_composition[[#This Row],[Calculated Density
 (lb/scf)]]))</f>
        <v>0</v>
      </c>
      <c r="AA20" s="63"/>
    </row>
    <row r="21" spans="1:27" s="33" customFormat="1" ht="16.2" customHeight="1" x14ac:dyDescent="0.25">
      <c r="A21" s="52">
        <v>45979</v>
      </c>
      <c r="B21" s="42">
        <v>0.14680000000000001</v>
      </c>
      <c r="C21" s="42">
        <v>24.849399999999999</v>
      </c>
      <c r="D21" s="42">
        <v>41.420699999999997</v>
      </c>
      <c r="E21" s="42">
        <v>31.8063</v>
      </c>
      <c r="F21" s="42">
        <v>1.0553999999999999</v>
      </c>
      <c r="G21" s="42">
        <v>0.42480000000000001</v>
      </c>
      <c r="H21" s="42">
        <v>0.1061</v>
      </c>
      <c r="I21" s="42">
        <v>0.11310000000000001</v>
      </c>
      <c r="J21" s="42">
        <v>2.0999999999999999E-3</v>
      </c>
      <c r="K21" s="42">
        <v>6.13E-2</v>
      </c>
      <c r="L21" s="42">
        <v>1.4E-2</v>
      </c>
      <c r="M21" s="43">
        <f t="shared" si="0"/>
        <v>21</v>
      </c>
      <c r="N21" s="43"/>
      <c r="O21" s="43">
        <f t="shared" si="1"/>
        <v>56.655699999999996</v>
      </c>
      <c r="P21" s="44">
        <f t="shared" si="2"/>
        <v>419.44949419999989</v>
      </c>
      <c r="Q21" s="44" cm="1">
        <f t="array" ref="Q21">SUMPRODUCT(B21:L21/100,$B$7:$L$7)</f>
        <v>28.417778870999999</v>
      </c>
      <c r="R21" s="44">
        <f t="shared" si="3"/>
        <v>0.98127689471685076</v>
      </c>
      <c r="S21" s="44">
        <f t="shared" si="4"/>
        <v>469.2765012413671</v>
      </c>
      <c r="T21" s="44">
        <f t="shared" si="5"/>
        <v>464.86258640000005</v>
      </c>
      <c r="U21" s="44">
        <f t="shared" si="6"/>
        <v>7.4921642159240701E-2</v>
      </c>
      <c r="V21" s="45">
        <f t="shared" si="7"/>
        <v>5598.5090837770131</v>
      </c>
      <c r="W21" s="46">
        <f t="shared" si="8"/>
        <v>3.8467959096719229</v>
      </c>
      <c r="X21" s="47">
        <v>470.26600000000002</v>
      </c>
      <c r="Y21" s="46">
        <v>22.16</v>
      </c>
      <c r="Z21" s="47">
        <f>IF(Daily_fuel_gas_composition[[#This Row],[UCH 1 GCV]]&lt;400,0,(Daily_fuel_gas_composition[[#This Row],[UCH 1 GCV]]/(Daily_fuel_gas_composition[[#This Row],[HHV Calculated. 
(BTU/scf)]]/Daily_fuel_gas_composition[[#This Row],[LHV (BTU/scf)]]))/(0.997495*Daily_fuel_gas_composition[[#This Row],[Calculated Density
 (lb/scf)]]))</f>
        <v>5677.8072648478392</v>
      </c>
      <c r="AA21" s="63"/>
    </row>
    <row r="22" spans="1:27" s="33" customFormat="1" ht="16.2" customHeight="1" x14ac:dyDescent="0.25">
      <c r="A22" s="52">
        <v>45980</v>
      </c>
      <c r="B22" s="42">
        <v>0.1447</v>
      </c>
      <c r="C22" s="42">
        <v>24.236599999999999</v>
      </c>
      <c r="D22" s="42">
        <v>42.044899999999998</v>
      </c>
      <c r="E22" s="42">
        <v>31.772500000000001</v>
      </c>
      <c r="F22" s="42">
        <v>1.0788</v>
      </c>
      <c r="G22" s="42">
        <v>0.44269999999999998</v>
      </c>
      <c r="H22" s="42">
        <v>0.108</v>
      </c>
      <c r="I22" s="42">
        <v>0.1072</v>
      </c>
      <c r="J22" s="42">
        <v>2.3E-3</v>
      </c>
      <c r="K22" s="42">
        <v>6.2100000000000002E-2</v>
      </c>
      <c r="L22" s="42">
        <v>0</v>
      </c>
      <c r="M22" s="43">
        <f t="shared" si="0"/>
        <v>23</v>
      </c>
      <c r="N22" s="43"/>
      <c r="O22" s="43">
        <f t="shared" si="1"/>
        <v>56.009100000000004</v>
      </c>
      <c r="P22" s="44">
        <f t="shared" si="2"/>
        <v>425.21865253730493</v>
      </c>
      <c r="Q22" s="44" cm="1">
        <f t="array" ref="Q22">SUMPRODUCT(B22:L22/100,$B$7:$L$7)</f>
        <v>28.332719699000002</v>
      </c>
      <c r="R22" s="44">
        <f t="shared" si="3"/>
        <v>0.97833976861187844</v>
      </c>
      <c r="S22" s="44">
        <f t="shared" si="4"/>
        <v>476.46228000952743</v>
      </c>
      <c r="T22" s="44">
        <f t="shared" si="5"/>
        <v>471.27388914777811</v>
      </c>
      <c r="U22" s="44">
        <f t="shared" si="6"/>
        <v>7.4697389135249148E-2</v>
      </c>
      <c r="V22" s="45">
        <f t="shared" si="7"/>
        <v>5692.5504018271959</v>
      </c>
      <c r="W22" s="46">
        <f t="shared" si="8"/>
        <v>3.849510511855136</v>
      </c>
      <c r="X22" s="47">
        <v>469.4</v>
      </c>
      <c r="Y22" s="46">
        <v>20.63</v>
      </c>
      <c r="Z22" s="47">
        <f>IF(Daily_fuel_gas_composition[[#This Row],[UCH 1 GCV]]&lt;400,0,(Daily_fuel_gas_composition[[#This Row],[UCH 1 GCV]]/(Daily_fuel_gas_composition[[#This Row],[HHV Calculated. 
(BTU/scf)]]/Daily_fuel_gas_composition[[#This Row],[LHV (BTU/scf)]]))/(0.997495*Daily_fuel_gas_composition[[#This Row],[Calculated Density
 (lb/scf)]]))</f>
        <v>5684.1543699155372</v>
      </c>
      <c r="AA22" s="63"/>
    </row>
    <row r="23" spans="1:27" s="33" customFormat="1" ht="16.2" customHeight="1" x14ac:dyDescent="0.25">
      <c r="A23" s="52">
        <v>45981</v>
      </c>
      <c r="B23" s="42">
        <v>0.1394</v>
      </c>
      <c r="C23" s="42">
        <v>25.549199999999999</v>
      </c>
      <c r="D23" s="42">
        <v>41.191200000000002</v>
      </c>
      <c r="E23" s="42">
        <v>31.375599999999999</v>
      </c>
      <c r="F23" s="42">
        <v>1.0379</v>
      </c>
      <c r="G23" s="42">
        <v>0.4365</v>
      </c>
      <c r="H23" s="42">
        <v>0.1045</v>
      </c>
      <c r="I23" s="42">
        <v>0.1051</v>
      </c>
      <c r="J23" s="42">
        <v>6.9999999999999999E-4</v>
      </c>
      <c r="K23" s="42">
        <v>0.06</v>
      </c>
      <c r="L23" s="42">
        <v>0</v>
      </c>
      <c r="M23" s="43">
        <f t="shared" si="0"/>
        <v>7</v>
      </c>
      <c r="N23" s="43"/>
      <c r="O23" s="43">
        <f t="shared" si="1"/>
        <v>56.924799999999998</v>
      </c>
      <c r="P23" s="44">
        <f t="shared" si="2"/>
        <v>416.15955604044404</v>
      </c>
      <c r="Q23" s="44" cm="1">
        <f t="array" ref="Q23">SUMPRODUCT(B23:L23/100,$B$7:$L$7)</f>
        <v>28.363868212999996</v>
      </c>
      <c r="R23" s="44">
        <f t="shared" si="3"/>
        <v>0.97941533884668497</v>
      </c>
      <c r="S23" s="44">
        <f t="shared" si="4"/>
        <v>466.06357405979156</v>
      </c>
      <c r="T23" s="44">
        <f t="shared" si="5"/>
        <v>461.24175075824922</v>
      </c>
      <c r="U23" s="44">
        <f t="shared" si="6"/>
        <v>7.4779510184550479E-2</v>
      </c>
      <c r="V23" s="45">
        <f t="shared" si="7"/>
        <v>5565.1548801722829</v>
      </c>
      <c r="W23" s="46">
        <f t="shared" si="8"/>
        <v>3.8506593800817579</v>
      </c>
      <c r="X23" s="47">
        <v>466.34899999999999</v>
      </c>
      <c r="Y23" s="46">
        <v>22.51</v>
      </c>
      <c r="Z23" s="47">
        <f>IF(Daily_fuel_gas_composition[[#This Row],[UCH 1 GCV]]&lt;400,0,(Daily_fuel_gas_composition[[#This Row],[UCH 1 GCV]]/(Daily_fuel_gas_composition[[#This Row],[HHV Calculated. 
(BTU/scf)]]/Daily_fuel_gas_composition[[#This Row],[LHV (BTU/scf)]]))/(0.997495*Daily_fuel_gas_composition[[#This Row],[Calculated Density
 (lb/scf)]]))</f>
        <v>5640.9073397828861</v>
      </c>
      <c r="AA23" s="63"/>
    </row>
    <row r="24" spans="1:27" s="33" customFormat="1" ht="16.2" customHeight="1" x14ac:dyDescent="0.25">
      <c r="A24" s="52">
        <v>45982</v>
      </c>
      <c r="B24" s="42">
        <v>0.1603</v>
      </c>
      <c r="C24" s="42">
        <v>25.378699999999998</v>
      </c>
      <c r="D24" s="42">
        <v>41.122999999999998</v>
      </c>
      <c r="E24" s="42">
        <v>31.551300000000001</v>
      </c>
      <c r="F24" s="42">
        <v>1.0593999999999999</v>
      </c>
      <c r="G24" s="42">
        <v>0.41349999999999998</v>
      </c>
      <c r="H24" s="42">
        <v>0.1043</v>
      </c>
      <c r="I24" s="42">
        <v>0.1203</v>
      </c>
      <c r="J24" s="42">
        <v>1.1000000000000001E-3</v>
      </c>
      <c r="K24" s="42">
        <v>6.2100000000000002E-2</v>
      </c>
      <c r="L24" s="42">
        <v>2.6100000000000002E-2</v>
      </c>
      <c r="M24" s="43">
        <f t="shared" si="0"/>
        <v>11</v>
      </c>
      <c r="N24" s="43"/>
      <c r="O24" s="43">
        <f t="shared" si="1"/>
        <v>56.93</v>
      </c>
      <c r="P24" s="44">
        <f t="shared" si="2"/>
        <v>417.77449922550096</v>
      </c>
      <c r="Q24" s="44" cm="1">
        <f t="array" ref="Q24">SUMPRODUCT(B24:L24/100,$B$7:$L$7)</f>
        <v>28.426025095</v>
      </c>
      <c r="R24" s="44">
        <f t="shared" si="3"/>
        <v>0.98156164002071822</v>
      </c>
      <c r="S24" s="44">
        <f t="shared" si="4"/>
        <v>467.29908738348149</v>
      </c>
      <c r="T24" s="44">
        <f t="shared" si="5"/>
        <v>462.97092912907101</v>
      </c>
      <c r="U24" s="44">
        <f t="shared" si="6"/>
        <v>7.494338279725811E-2</v>
      </c>
      <c r="V24" s="45">
        <f t="shared" si="7"/>
        <v>5574.5348506043911</v>
      </c>
      <c r="W24" s="46">
        <f t="shared" si="8"/>
        <v>3.8412517233640076</v>
      </c>
      <c r="X24" s="47">
        <v>468.73</v>
      </c>
      <c r="Y24" s="46">
        <v>19.670000000000002</v>
      </c>
      <c r="Z24" s="47">
        <f>IF(Daily_fuel_gas_composition[[#This Row],[UCH 1 GCV]]&lt;400,0,(Daily_fuel_gas_composition[[#This Row],[UCH 1 GCV]]/(Daily_fuel_gas_composition[[#This Row],[HHV Calculated. 
(BTU/scf)]]/Daily_fuel_gas_composition[[#This Row],[LHV (BTU/scf)]]))/(0.997495*Daily_fuel_gas_composition[[#This Row],[Calculated Density
 (lb/scf)]]))</f>
        <v>5658.0520228879413</v>
      </c>
      <c r="AA24" s="63"/>
    </row>
    <row r="25" spans="1:27" s="33" customFormat="1" ht="16.2" customHeight="1" x14ac:dyDescent="0.25">
      <c r="A25" s="52">
        <v>45983</v>
      </c>
      <c r="B25" s="42">
        <v>0.15989999999999999</v>
      </c>
      <c r="C25" s="42">
        <v>25.646999999999998</v>
      </c>
      <c r="D25" s="42">
        <v>41.6877</v>
      </c>
      <c r="E25" s="42">
        <v>30.661899999999999</v>
      </c>
      <c r="F25" s="42">
        <v>1.0973999999999999</v>
      </c>
      <c r="G25" s="42">
        <v>0.40820000000000001</v>
      </c>
      <c r="H25" s="42">
        <v>0.1033</v>
      </c>
      <c r="I25" s="42">
        <v>0.1285</v>
      </c>
      <c r="J25" s="42">
        <v>8.9999999999999998E-4</v>
      </c>
      <c r="K25" s="42">
        <v>6.1699999999999998E-2</v>
      </c>
      <c r="L25" s="42">
        <v>4.3499999999999997E-2</v>
      </c>
      <c r="M25" s="43">
        <f t="shared" si="0"/>
        <v>9</v>
      </c>
      <c r="N25" s="43"/>
      <c r="O25" s="43">
        <f t="shared" si="1"/>
        <v>56.308899999999994</v>
      </c>
      <c r="P25" s="44">
        <f t="shared" si="2"/>
        <v>424.23101250000008</v>
      </c>
      <c r="Q25" s="44" cm="1">
        <f t="array" ref="Q25">SUMPRODUCT(B25:L25/100,$B$7:$L$7)</f>
        <v>28.225480802</v>
      </c>
      <c r="R25" s="44">
        <f t="shared" si="3"/>
        <v>0.97463676802486188</v>
      </c>
      <c r="S25" s="44">
        <f t="shared" si="4"/>
        <v>476.18780902907093</v>
      </c>
      <c r="T25" s="44">
        <f t="shared" si="5"/>
        <v>470.11019360000006</v>
      </c>
      <c r="U25" s="44">
        <f t="shared" si="6"/>
        <v>7.4414660696018986E-2</v>
      </c>
      <c r="V25" s="45">
        <f t="shared" si="7"/>
        <v>5700.9063608173583</v>
      </c>
      <c r="W25" s="46">
        <f t="shared" si="8"/>
        <v>3.8388626190821915</v>
      </c>
      <c r="X25" s="47">
        <v>474.30700000000002</v>
      </c>
      <c r="Y25" s="46">
        <v>17.239999999999998</v>
      </c>
      <c r="Z25" s="47">
        <f>IF(Daily_fuel_gas_composition[[#This Row],[UCH 1 GCV]]&lt;400,0,(Daily_fuel_gas_composition[[#This Row],[UCH 1 GCV]]/(Daily_fuel_gas_composition[[#This Row],[HHV Calculated. 
(BTU/scf)]]/Daily_fuel_gas_composition[[#This Row],[LHV (BTU/scf)]]))/(0.997495*Daily_fuel_gas_composition[[#This Row],[Calculated Density
 (lb/scf)]]))</f>
        <v>5766.2444033708707</v>
      </c>
      <c r="AA25" s="63"/>
    </row>
    <row r="26" spans="1:27" s="33" customFormat="1" ht="16.2" customHeight="1" x14ac:dyDescent="0.25">
      <c r="A26" s="52">
        <v>45984</v>
      </c>
      <c r="B26" s="42">
        <v>0.1724</v>
      </c>
      <c r="C26" s="42">
        <v>25.4726</v>
      </c>
      <c r="D26" s="42">
        <v>41.493600000000001</v>
      </c>
      <c r="E26" s="42">
        <v>30.930900000000001</v>
      </c>
      <c r="F26" s="42">
        <v>1.1407</v>
      </c>
      <c r="G26" s="42">
        <v>0.40439999999999998</v>
      </c>
      <c r="H26" s="42">
        <v>0.1075</v>
      </c>
      <c r="I26" s="42">
        <v>0.15579999999999999</v>
      </c>
      <c r="J26" s="42">
        <v>6.9999999999999999E-4</v>
      </c>
      <c r="K26" s="42">
        <v>6.7000000000000004E-2</v>
      </c>
      <c r="L26" s="42">
        <v>5.4399999999999997E-2</v>
      </c>
      <c r="M26" s="43">
        <f t="shared" si="0"/>
        <v>7</v>
      </c>
      <c r="N26" s="43"/>
      <c r="O26" s="43">
        <f t="shared" si="1"/>
        <v>56.403500000000001</v>
      </c>
      <c r="P26" s="44">
        <f t="shared" si="2"/>
        <v>425.17616370000002</v>
      </c>
      <c r="Q26" s="44" cm="1">
        <f t="array" ref="Q26">SUMPRODUCT(B26:L26/100,$B$7:$L$7)</f>
        <v>28.315919201000003</v>
      </c>
      <c r="R26" s="44">
        <f t="shared" si="3"/>
        <v>0.97775964091850842</v>
      </c>
      <c r="S26" s="44">
        <f t="shared" si="4"/>
        <v>476.41746383006654</v>
      </c>
      <c r="T26" s="44">
        <f t="shared" si="5"/>
        <v>471.08982740000005</v>
      </c>
      <c r="U26" s="44">
        <f t="shared" si="6"/>
        <v>7.4653095705246517E-2</v>
      </c>
      <c r="V26" s="45">
        <f t="shared" si="7"/>
        <v>5695.3587749224343</v>
      </c>
      <c r="W26" s="46">
        <f t="shared" si="8"/>
        <v>3.8286048638083323</v>
      </c>
      <c r="X26" s="47">
        <v>470.327</v>
      </c>
      <c r="Y26" s="46">
        <v>19.07</v>
      </c>
      <c r="Z26" s="47">
        <f>IF(Daily_fuel_gas_composition[[#This Row],[UCH 1 GCV]]&lt;400,0,(Daily_fuel_gas_composition[[#This Row],[UCH 1 GCV]]/(Daily_fuel_gas_composition[[#This Row],[HHV Calculated. 
(BTU/scf)]]/Daily_fuel_gas_composition[[#This Row],[LHV (BTU/scf)]]))/(0.997495*Daily_fuel_gas_composition[[#This Row],[Calculated Density
 (lb/scf)]]))</f>
        <v>5700.4159233864866</v>
      </c>
      <c r="AA26" s="63"/>
    </row>
    <row r="27" spans="1:27" s="33" customFormat="1" ht="16.2" customHeight="1" x14ac:dyDescent="0.25">
      <c r="A27" s="52">
        <v>45985</v>
      </c>
      <c r="B27" s="42">
        <v>0.1865</v>
      </c>
      <c r="C27" s="42">
        <v>25.5365</v>
      </c>
      <c r="D27" s="42">
        <v>41.451099999999997</v>
      </c>
      <c r="E27" s="42">
        <v>31.005700000000001</v>
      </c>
      <c r="F27" s="42">
        <v>1.0605</v>
      </c>
      <c r="G27" s="42">
        <v>0.41560000000000002</v>
      </c>
      <c r="H27" s="42">
        <v>0.10440000000000001</v>
      </c>
      <c r="I27" s="42">
        <v>0.12920000000000001</v>
      </c>
      <c r="J27" s="42">
        <v>1.2999999999999999E-3</v>
      </c>
      <c r="K27" s="42">
        <v>6.3299999999999995E-2</v>
      </c>
      <c r="L27" s="42">
        <v>4.5699999999999998E-2</v>
      </c>
      <c r="M27" s="43">
        <f t="shared" si="0"/>
        <v>13</v>
      </c>
      <c r="N27" s="43"/>
      <c r="O27" s="43">
        <f t="shared" si="1"/>
        <v>56.542200000000001</v>
      </c>
      <c r="P27" s="44">
        <f t="shared" si="2"/>
        <v>423.02279424558856</v>
      </c>
      <c r="Q27" s="44" cm="1">
        <f t="array" ref="Q27">SUMPRODUCT(B27:L27/100,$B$7:$L$7)</f>
        <v>28.326889743000002</v>
      </c>
      <c r="R27" s="44">
        <f t="shared" si="3"/>
        <v>0.97813845797651944</v>
      </c>
      <c r="S27" s="44">
        <f t="shared" si="4"/>
        <v>473.94229730494737</v>
      </c>
      <c r="T27" s="44">
        <f t="shared" si="5"/>
        <v>468.73311506623008</v>
      </c>
      <c r="U27" s="44">
        <f t="shared" si="6"/>
        <v>7.4682018832059063E-2</v>
      </c>
      <c r="V27" s="45">
        <f t="shared" si="7"/>
        <v>5664.3192144665991</v>
      </c>
      <c r="W27" s="46">
        <f t="shared" si="8"/>
        <v>3.8329850075816223</v>
      </c>
      <c r="X27" s="47">
        <v>470.45</v>
      </c>
      <c r="Y27" s="46">
        <v>22.36</v>
      </c>
      <c r="Z27" s="47">
        <f>IF(Daily_fuel_gas_composition[[#This Row],[UCH 1 GCV]]&lt;400,0,(Daily_fuel_gas_composition[[#This Row],[UCH 1 GCV]]/(Daily_fuel_gas_composition[[#This Row],[HHV Calculated. 
(BTU/scf)]]/Daily_fuel_gas_composition[[#This Row],[LHV (BTU/scf)]]))/(0.997495*Daily_fuel_gas_composition[[#This Row],[Calculated Density
 (lb/scf)]]))</f>
        <v>5699.3434503698345</v>
      </c>
      <c r="AA27" s="63"/>
    </row>
    <row r="28" spans="1:27" s="33" customFormat="1" ht="16.2" customHeight="1" x14ac:dyDescent="0.25">
      <c r="A28" s="52">
        <v>45986</v>
      </c>
      <c r="B28" s="42">
        <v>0.14580000000000001</v>
      </c>
      <c r="C28" s="42">
        <v>23.983899999999998</v>
      </c>
      <c r="D28" s="42">
        <v>41.864199999999997</v>
      </c>
      <c r="E28" s="42">
        <v>32.124299999999998</v>
      </c>
      <c r="F28" s="42">
        <v>1.1329</v>
      </c>
      <c r="G28" s="42">
        <v>0.41520000000000001</v>
      </c>
      <c r="H28" s="42">
        <v>0.1047</v>
      </c>
      <c r="I28" s="42">
        <v>0.1232</v>
      </c>
      <c r="J28" s="42">
        <v>0</v>
      </c>
      <c r="K28" s="42">
        <v>6.0900000000000003E-2</v>
      </c>
      <c r="L28" s="42">
        <v>3.9800000000000002E-2</v>
      </c>
      <c r="M28" s="43">
        <f t="shared" si="0"/>
        <v>0</v>
      </c>
      <c r="N28" s="43"/>
      <c r="O28" s="43">
        <f t="shared" si="1"/>
        <v>56.108199999999997</v>
      </c>
      <c r="P28" s="44">
        <f t="shared" si="2"/>
        <v>425.68396378215289</v>
      </c>
      <c r="Q28" s="44" cm="1">
        <f t="array" ref="Q28">SUMPRODUCT(B28:L28/100,$B$7:$L$7)</f>
        <v>28.427305149999995</v>
      </c>
      <c r="R28" s="44">
        <f t="shared" si="3"/>
        <v>0.98160584081491697</v>
      </c>
      <c r="S28" s="44">
        <f t="shared" si="4"/>
        <v>476.13660048089758</v>
      </c>
      <c r="T28" s="44">
        <f t="shared" si="5"/>
        <v>471.7372095976894</v>
      </c>
      <c r="U28" s="44">
        <f t="shared" si="6"/>
        <v>7.4946757579752166E-2</v>
      </c>
      <c r="V28" s="45">
        <f t="shared" si="7"/>
        <v>5679.8182807198173</v>
      </c>
      <c r="W28" s="46">
        <f t="shared" si="8"/>
        <v>3.8414450703338887</v>
      </c>
      <c r="X28" s="47">
        <v>472.80799999999999</v>
      </c>
      <c r="Y28" s="46">
        <v>34.56</v>
      </c>
      <c r="Z28" s="47">
        <f>IF(Daily_fuel_gas_composition[[#This Row],[UCH 1 GCV]]&lt;400,0,(Daily_fuel_gas_composition[[#This Row],[UCH 1 GCV]]/(Daily_fuel_gas_composition[[#This Row],[HHV Calculated. 
(BTU/scf)]]/Daily_fuel_gas_composition[[#This Row],[LHV (BTU/scf)]]))/(0.997495*Daily_fuel_gas_composition[[#This Row],[Calculated Density
 (lb/scf)]]))</f>
        <v>5707.0068815596005</v>
      </c>
      <c r="AA28" s="63"/>
    </row>
    <row r="29" spans="1:27" s="33" customFormat="1" ht="16.2" customHeight="1" x14ac:dyDescent="0.25">
      <c r="A29" s="52">
        <v>45987</v>
      </c>
      <c r="B29" s="42">
        <v>0.13689999999999999</v>
      </c>
      <c r="C29" s="42">
        <v>24.248999999999999</v>
      </c>
      <c r="D29" s="42">
        <v>42.0169</v>
      </c>
      <c r="E29" s="42">
        <v>31.722999999999999</v>
      </c>
      <c r="F29" s="42">
        <v>1.1302000000000001</v>
      </c>
      <c r="G29" s="42">
        <v>0.41260000000000002</v>
      </c>
      <c r="H29" s="42">
        <v>0.104</v>
      </c>
      <c r="I29" s="42">
        <v>0.1231</v>
      </c>
      <c r="J29" s="42">
        <v>3.3E-3</v>
      </c>
      <c r="K29" s="42">
        <v>6.1100000000000002E-2</v>
      </c>
      <c r="L29" s="42">
        <v>3.9800000000000002E-2</v>
      </c>
      <c r="M29" s="43">
        <f t="shared" si="0"/>
        <v>33</v>
      </c>
      <c r="N29" s="43"/>
      <c r="O29" s="43">
        <f t="shared" si="1"/>
        <v>55.971999999999994</v>
      </c>
      <c r="P29" s="44">
        <f t="shared" si="2"/>
        <v>426.5582525582526</v>
      </c>
      <c r="Q29" s="44" cm="1">
        <f t="array" ref="Q29">SUMPRODUCT(B29:L29/100,$B$7:$L$7)</f>
        <v>28.340628935000002</v>
      </c>
      <c r="R29" s="44">
        <f t="shared" si="3"/>
        <v>0.978612877589779</v>
      </c>
      <c r="S29" s="44">
        <f t="shared" si="4"/>
        <v>477.86006550384531</v>
      </c>
      <c r="T29" s="44">
        <f t="shared" si="5"/>
        <v>472.72242132242144</v>
      </c>
      <c r="U29" s="44">
        <f t="shared" si="6"/>
        <v>7.4718241326127074E-2</v>
      </c>
      <c r="V29" s="45">
        <f t="shared" si="7"/>
        <v>5708.890426053109</v>
      </c>
      <c r="W29" s="46">
        <f t="shared" si="8"/>
        <v>3.8441236957951319</v>
      </c>
      <c r="X29" s="47">
        <v>468.11399999999998</v>
      </c>
      <c r="Y29" s="46">
        <v>31.78</v>
      </c>
      <c r="Z29" s="47">
        <f>IF(Daily_fuel_gas_composition[[#This Row],[UCH 1 GCV]]&lt;400,0,(Daily_fuel_gas_composition[[#This Row],[UCH 1 GCV]]/(Daily_fuel_gas_composition[[#This Row],[HHV Calculated. 
(BTU/scf)]]/Daily_fuel_gas_composition[[#This Row],[LHV (BTU/scf)]]))/(0.997495*Daily_fuel_gas_composition[[#This Row],[Calculated Density
 (lb/scf)]]))</f>
        <v>5667.4331796210345</v>
      </c>
      <c r="AA29" s="63"/>
    </row>
    <row r="30" spans="1:27" s="33" customFormat="1" ht="16.2" customHeight="1" x14ac:dyDescent="0.25">
      <c r="A30" s="52">
        <v>45991</v>
      </c>
      <c r="B30" s="42">
        <v>0.1482</v>
      </c>
      <c r="C30" s="42">
        <v>24.4834</v>
      </c>
      <c r="D30" s="42">
        <v>41.8461</v>
      </c>
      <c r="E30" s="42">
        <v>31.648399999999999</v>
      </c>
      <c r="F30" s="42">
        <v>1.1267</v>
      </c>
      <c r="G30" s="42">
        <v>0.41460000000000002</v>
      </c>
      <c r="H30" s="42">
        <v>0.1043</v>
      </c>
      <c r="I30" s="42">
        <v>0.1237</v>
      </c>
      <c r="J30" s="42">
        <v>3.7000000000000002E-3</v>
      </c>
      <c r="K30" s="42">
        <v>6.1100000000000002E-2</v>
      </c>
      <c r="L30" s="42">
        <v>3.9699999999999999E-2</v>
      </c>
      <c r="M30" s="43">
        <f t="shared" si="0"/>
        <v>37</v>
      </c>
      <c r="N30" s="43"/>
      <c r="O30" s="43">
        <f t="shared" si="1"/>
        <v>56.131799999999998</v>
      </c>
      <c r="P30" s="44">
        <f t="shared" si="2"/>
        <v>425.51797551797569</v>
      </c>
      <c r="Q30" s="44" cm="1">
        <f t="array" ref="Q30">SUMPRODUCT(B30:L30/100,$B$7:$L$7)</f>
        <v>28.356213271000005</v>
      </c>
      <c r="R30" s="44">
        <f t="shared" si="3"/>
        <v>0.97915101073895039</v>
      </c>
      <c r="S30" s="44">
        <f t="shared" si="4"/>
        <v>476.54491837476576</v>
      </c>
      <c r="T30" s="44">
        <f t="shared" si="5"/>
        <v>471.55101185101199</v>
      </c>
      <c r="U30" s="44">
        <f t="shared" si="6"/>
        <v>7.4759328423411556E-2</v>
      </c>
      <c r="V30" s="45">
        <f t="shared" si="7"/>
        <v>5691.8378547756047</v>
      </c>
      <c r="W30" s="46">
        <f t="shared" si="8"/>
        <v>3.8413213427495112</v>
      </c>
      <c r="X30" s="47">
        <v>470.14400000000001</v>
      </c>
      <c r="Y30" s="46">
        <v>25.97</v>
      </c>
      <c r="Z30" s="47">
        <f>IF(Daily_fuel_gas_composition[[#This Row],[UCH 1 GCV]]&lt;400,0,(Daily_fuel_gas_composition[[#This Row],[UCH 1 GCV]]/(Daily_fuel_gas_composition[[#This Row],[HHV Calculated. 
(BTU/scf)]]/Daily_fuel_gas_composition[[#This Row],[LHV (BTU/scf)]]))/(0.997495*Daily_fuel_gas_composition[[#This Row],[Calculated Density
 (lb/scf)]]))</f>
        <v>5689.1057838157903</v>
      </c>
      <c r="AA30" s="63"/>
    </row>
    <row r="31" spans="1:27" s="33" customFormat="1" ht="16.2" customHeight="1" x14ac:dyDescent="0.25">
      <c r="A31" s="52">
        <v>45992</v>
      </c>
      <c r="B31" s="42">
        <v>0.14480000000000001</v>
      </c>
      <c r="C31" s="42">
        <v>23.7867</v>
      </c>
      <c r="D31" s="42">
        <v>41.7258</v>
      </c>
      <c r="E31" s="42">
        <v>32.480200000000004</v>
      </c>
      <c r="F31" s="42">
        <v>1.1231</v>
      </c>
      <c r="G31" s="42">
        <v>0.41099999999999998</v>
      </c>
      <c r="H31" s="42">
        <v>0.1033</v>
      </c>
      <c r="I31" s="42">
        <v>0.12189999999999999</v>
      </c>
      <c r="J31" s="42">
        <v>4.1999999999999997E-3</v>
      </c>
      <c r="K31" s="42">
        <v>6.0100000000000001E-2</v>
      </c>
      <c r="L31" s="42">
        <v>3.8899999999999997E-2</v>
      </c>
      <c r="M31" s="48">
        <f t="shared" si="0"/>
        <v>42</v>
      </c>
      <c r="N31" s="43" t="e">
        <f>AVERAGEIFS(#REF!,#REF!,'Fuel. Gas specifications'!A10)</f>
        <v>#REF!</v>
      </c>
      <c r="O31" s="43">
        <f t="shared" si="1"/>
        <v>56.266900000000007</v>
      </c>
      <c r="P31" s="44">
        <f t="shared" si="2"/>
        <v>423.98429339999996</v>
      </c>
      <c r="Q31" s="44" cm="1">
        <f t="array" ref="Q31">SUMPRODUCT(B31:L31/100,$B$7:$L$7)</f>
        <v>28.499466377000001</v>
      </c>
      <c r="R31" s="44">
        <f t="shared" si="3"/>
        <v>0.98409759589088397</v>
      </c>
      <c r="S31" s="44">
        <f t="shared" si="4"/>
        <v>473.64049306299518</v>
      </c>
      <c r="T31" s="44">
        <f t="shared" si="5"/>
        <v>469.85938940000005</v>
      </c>
      <c r="U31" s="44">
        <f t="shared" si="6"/>
        <v>7.5137006003163725E-2</v>
      </c>
      <c r="V31" s="45">
        <f t="shared" si="7"/>
        <v>5642.815916595714</v>
      </c>
      <c r="W31" s="46">
        <f t="shared" si="8"/>
        <v>3.8425729308862917</v>
      </c>
      <c r="X31" s="47">
        <v>472.18200000000002</v>
      </c>
      <c r="Y31" s="46">
        <v>30.87</v>
      </c>
      <c r="Z31" s="47">
        <f>IF(Daily_fuel_gas_composition[[#This Row],[UCH 1 GCV]]&lt;400,0,(Daily_fuel_gas_composition[[#This Row],[UCH 1 GCV]]/(Daily_fuel_gas_composition[[#This Row],[HHV Calculated. 
(BTU/scf)]]/Daily_fuel_gas_composition[[#This Row],[LHV (BTU/scf)]]))/(0.997495*Daily_fuel_gas_composition[[#This Row],[Calculated Density
 (lb/scf)]]))</f>
        <v>5684.9503047598382</v>
      </c>
      <c r="AA31" s="63"/>
    </row>
    <row r="32" spans="1:27" s="33" customFormat="1" ht="16.2" customHeight="1" x14ac:dyDescent="0.25">
      <c r="A32" s="52">
        <v>45993</v>
      </c>
      <c r="B32" s="42">
        <v>0.15260000000000001</v>
      </c>
      <c r="C32" s="42">
        <v>23.501000000000001</v>
      </c>
      <c r="D32" s="42">
        <v>41.835299999999997</v>
      </c>
      <c r="E32" s="42">
        <v>32.642200000000003</v>
      </c>
      <c r="F32" s="42">
        <v>1.1283000000000001</v>
      </c>
      <c r="G32" s="42">
        <v>0.41139999999999999</v>
      </c>
      <c r="H32" s="42">
        <v>0.1033</v>
      </c>
      <c r="I32" s="42">
        <v>0.12189999999999999</v>
      </c>
      <c r="J32" s="42">
        <v>4.4999999999999997E-3</v>
      </c>
      <c r="K32" s="42">
        <v>6.0499999999999998E-2</v>
      </c>
      <c r="L32" s="42">
        <v>3.9100000000000003E-2</v>
      </c>
      <c r="M32" s="48">
        <f t="shared" si="0"/>
        <v>45</v>
      </c>
      <c r="N32" s="43" t="e">
        <f>AVERAGEIFS(#REF!,#REF!,'Fuel. Gas specifications'!A11)</f>
        <v>#REF!</v>
      </c>
      <c r="O32" s="43">
        <f t="shared" si="1"/>
        <v>56.143200000000007</v>
      </c>
      <c r="P32" s="44">
        <f t="shared" si="2"/>
        <v>425.44055955944026</v>
      </c>
      <c r="Q32" s="44" cm="1">
        <f t="array" ref="Q32">SUMPRODUCT(B32:L32/100,$B$7:$L$7)</f>
        <v>28.517293495000001</v>
      </c>
      <c r="R32" s="44">
        <f t="shared" si="3"/>
        <v>0.98471317316988949</v>
      </c>
      <c r="S32" s="44">
        <f t="shared" si="4"/>
        <v>475.10928659587904</v>
      </c>
      <c r="T32" s="44">
        <f t="shared" si="5"/>
        <v>471.46384443615563</v>
      </c>
      <c r="U32" s="44">
        <f t="shared" si="6"/>
        <v>7.5184006050619562E-2</v>
      </c>
      <c r="V32" s="45">
        <f t="shared" si="7"/>
        <v>5658.6577638999643</v>
      </c>
      <c r="W32" s="46">
        <f t="shared" si="8"/>
        <v>3.8411603572590538</v>
      </c>
      <c r="X32" s="47">
        <v>472.33600000000001</v>
      </c>
      <c r="Y32" s="46">
        <v>43.47</v>
      </c>
      <c r="Z32" s="47">
        <f>IF(Daily_fuel_gas_composition[[#This Row],[UCH 1 GCV]]&lt;400,0,(Daily_fuel_gas_composition[[#This Row],[UCH 1 GCV]]/(Daily_fuel_gas_composition[[#This Row],[HHV Calculated. 
(BTU/scf)]]/Daily_fuel_gas_composition[[#This Row],[LHV (BTU/scf)]]))/(0.997495*Daily_fuel_gas_composition[[#This Row],[Calculated Density
 (lb/scf)]]))</f>
        <v>5683.3624730561633</v>
      </c>
      <c r="AA32" s="63"/>
    </row>
    <row r="33" spans="1:27" s="33" customFormat="1" ht="16.2" customHeight="1" x14ac:dyDescent="0.25">
      <c r="A33" s="52">
        <v>45994</v>
      </c>
      <c r="B33" s="42">
        <v>0.15640000000000001</v>
      </c>
      <c r="C33" s="42">
        <v>23.1007</v>
      </c>
      <c r="D33" s="42">
        <v>42.116900000000001</v>
      </c>
      <c r="E33" s="42">
        <v>32.726100000000002</v>
      </c>
      <c r="F33" s="42">
        <v>1.1457999999999999</v>
      </c>
      <c r="G33" s="42">
        <v>0.41830000000000001</v>
      </c>
      <c r="H33" s="42">
        <v>0.1052</v>
      </c>
      <c r="I33" s="42">
        <v>0.1237</v>
      </c>
      <c r="J33" s="42">
        <v>5.4000000000000003E-3</v>
      </c>
      <c r="K33" s="42">
        <v>6.1699999999999998E-2</v>
      </c>
      <c r="L33" s="42">
        <v>3.9899999999999998E-2</v>
      </c>
      <c r="M33" s="48">
        <f t="shared" si="0"/>
        <v>54</v>
      </c>
      <c r="N33" s="43" t="e">
        <f>AVERAGEIFS(#REF!,#REF!,'Fuel. Gas specifications'!A12)</f>
        <v>#REF!</v>
      </c>
      <c r="O33" s="43">
        <f t="shared" si="1"/>
        <v>55.826800000000006</v>
      </c>
      <c r="P33" s="44">
        <f t="shared" si="2"/>
        <v>428.80229799770211</v>
      </c>
      <c r="Q33" s="44" cm="1">
        <f t="array" ref="Q33">SUMPRODUCT(B33:L33/100,$B$7:$L$7)</f>
        <v>28.502738873999999</v>
      </c>
      <c r="R33" s="44">
        <f t="shared" si="3"/>
        <v>0.98421059647790043</v>
      </c>
      <c r="S33" s="44">
        <f t="shared" si="4"/>
        <v>478.97474738413297</v>
      </c>
      <c r="T33" s="44">
        <f t="shared" si="5"/>
        <v>475.17833922166096</v>
      </c>
      <c r="U33" s="44">
        <f t="shared" si="6"/>
        <v>7.5145633730556285E-2</v>
      </c>
      <c r="V33" s="45">
        <f t="shared" si="7"/>
        <v>5706.2836083760285</v>
      </c>
      <c r="W33" s="46">
        <f t="shared" si="8"/>
        <v>3.8395807218680105</v>
      </c>
      <c r="X33" s="47">
        <v>476.77</v>
      </c>
      <c r="Y33" s="46">
        <v>55.04</v>
      </c>
      <c r="Z33" s="47">
        <f>IF(Daily_fuel_gas_composition[[#This Row],[UCH 1 GCV]]&lt;400,0,(Daily_fuel_gas_composition[[#This Row],[UCH 1 GCV]]/(Daily_fuel_gas_composition[[#This Row],[HHV Calculated. 
(BTU/scf)]]/Daily_fuel_gas_composition[[#This Row],[LHV (BTU/scf)]]))/(0.997495*Daily_fuel_gas_composition[[#This Row],[Calculated Density
 (lb/scf)]]))</f>
        <v>5739.775554704328</v>
      </c>
      <c r="AA33" s="63"/>
    </row>
    <row r="34" spans="1:27" s="33" customFormat="1" ht="16.2" customHeight="1" x14ac:dyDescent="0.25">
      <c r="A34" s="52">
        <v>45995</v>
      </c>
      <c r="B34" s="42">
        <v>0.1399</v>
      </c>
      <c r="C34" s="42">
        <v>23.6677</v>
      </c>
      <c r="D34" s="42">
        <v>41.680799999999998</v>
      </c>
      <c r="E34" s="42">
        <v>32.629100000000001</v>
      </c>
      <c r="F34" s="42">
        <v>1.1335</v>
      </c>
      <c r="G34" s="42">
        <v>0.41570000000000001</v>
      </c>
      <c r="H34" s="42">
        <v>0.1045</v>
      </c>
      <c r="I34" s="42">
        <v>0.1232</v>
      </c>
      <c r="J34" s="42">
        <v>4.8999999999999998E-3</v>
      </c>
      <c r="K34" s="42">
        <v>6.0999999999999999E-2</v>
      </c>
      <c r="L34" s="42">
        <v>3.9800000000000002E-2</v>
      </c>
      <c r="M34" s="48">
        <f t="shared" si="0"/>
        <v>49</v>
      </c>
      <c r="N34" s="43" t="e">
        <f>AVERAGEIFS(#REF!,#REF!,'Fuel. Gas specifications'!A13)</f>
        <v>#REF!</v>
      </c>
      <c r="O34" s="43">
        <f t="shared" si="1"/>
        <v>56.296800000000005</v>
      </c>
      <c r="P34" s="44">
        <f t="shared" si="2"/>
        <v>423.78190441809551</v>
      </c>
      <c r="Q34" s="44" cm="1">
        <f t="array" ref="Q34">SUMPRODUCT(B34:L34/100,$B$7:$L$7)</f>
        <v>28.528409947999997</v>
      </c>
      <c r="R34" s="44">
        <f t="shared" si="3"/>
        <v>0.98509702859116011</v>
      </c>
      <c r="S34" s="44">
        <f t="shared" si="4"/>
        <v>473.1707163198347</v>
      </c>
      <c r="T34" s="44">
        <f t="shared" si="5"/>
        <v>469.63165636834356</v>
      </c>
      <c r="U34" s="44">
        <f t="shared" si="6"/>
        <v>7.5213313862378048E-2</v>
      </c>
      <c r="V34" s="45">
        <f t="shared" si="7"/>
        <v>5634.4001168930363</v>
      </c>
      <c r="W34" s="46">
        <f t="shared" si="8"/>
        <v>3.842112916788726</v>
      </c>
      <c r="X34" s="47">
        <v>472.54399999999998</v>
      </c>
      <c r="Y34" s="46">
        <v>39.659999999999997</v>
      </c>
      <c r="Z34" s="47">
        <f>IF(Daily_fuel_gas_composition[[#This Row],[UCH 1 GCV]]&lt;400,0,(Daily_fuel_gas_composition[[#This Row],[UCH 1 GCV]]/(Daily_fuel_gas_composition[[#This Row],[HHV Calculated. 
(BTU/scf)]]/Daily_fuel_gas_composition[[#This Row],[LHV (BTU/scf)]]))/(0.997495*Daily_fuel_gas_composition[[#This Row],[Calculated Density
 (lb/scf)]]))</f>
        <v>5683.5782879992903</v>
      </c>
      <c r="AA34" s="63"/>
    </row>
    <row r="35" spans="1:27" s="33" customFormat="1" ht="16.2" customHeight="1" x14ac:dyDescent="0.25">
      <c r="A35" s="52">
        <v>45996</v>
      </c>
      <c r="B35" s="42">
        <v>0.15040000000000001</v>
      </c>
      <c r="C35" s="42">
        <v>23.268699999999999</v>
      </c>
      <c r="D35" s="42">
        <v>41.758800000000001</v>
      </c>
      <c r="E35" s="42">
        <v>32.933199999999999</v>
      </c>
      <c r="F35" s="42">
        <v>1.1369</v>
      </c>
      <c r="G35" s="42">
        <v>0.41589999999999999</v>
      </c>
      <c r="H35" s="42">
        <v>0.1047</v>
      </c>
      <c r="I35" s="42">
        <v>0.1234</v>
      </c>
      <c r="J35" s="42">
        <v>5.7000000000000002E-3</v>
      </c>
      <c r="K35" s="42">
        <v>6.1600000000000002E-2</v>
      </c>
      <c r="L35" s="42">
        <v>4.07E-2</v>
      </c>
      <c r="M35" s="48">
        <f t="shared" si="0"/>
        <v>57</v>
      </c>
      <c r="N35" s="43" t="e">
        <f>AVERAGEIFS(#REF!,#REF!,'Fuel. Gas specifications'!A14)</f>
        <v>#REF!</v>
      </c>
      <c r="O35" s="43">
        <f t="shared" si="1"/>
        <v>56.201899999999995</v>
      </c>
      <c r="P35" s="44">
        <f t="shared" si="2"/>
        <v>425.08599770000006</v>
      </c>
      <c r="Q35" s="44" cm="1">
        <f t="array" ref="Q35">SUMPRODUCT(B35:L35/100,$B$7:$L$7)</f>
        <v>28.574732568999998</v>
      </c>
      <c r="R35" s="44">
        <f t="shared" si="3"/>
        <v>0.98669656660911598</v>
      </c>
      <c r="S35" s="44">
        <f t="shared" si="4"/>
        <v>474.22769462544574</v>
      </c>
      <c r="T35" s="44">
        <f t="shared" si="5"/>
        <v>471.06270480000006</v>
      </c>
      <c r="U35" s="44">
        <f t="shared" si="6"/>
        <v>7.5335440466649084E-2</v>
      </c>
      <c r="V35" s="45">
        <f t="shared" si="7"/>
        <v>5642.576655381542</v>
      </c>
      <c r="W35" s="46">
        <f t="shared" si="8"/>
        <v>3.8400011763074868</v>
      </c>
      <c r="X35" s="47">
        <v>473.47199999999998</v>
      </c>
      <c r="Y35" s="46">
        <v>56.96</v>
      </c>
      <c r="Z35" s="47">
        <f>IF(Daily_fuel_gas_composition[[#This Row],[UCH 1 GCV]]&lt;400,0,(Daily_fuel_gas_composition[[#This Row],[UCH 1 GCV]]/(Daily_fuel_gas_composition[[#This Row],[HHV Calculated. 
(BTU/scf)]]/Daily_fuel_gas_composition[[#This Row],[LHV (BTU/scf)]]))/(0.997495*Daily_fuel_gas_composition[[#This Row],[Calculated Density
 (lb/scf)]]))</f>
        <v>5685.678778008004</v>
      </c>
      <c r="AA35" s="63"/>
    </row>
    <row r="36" spans="1:27" s="33" customFormat="1" ht="16.2" customHeight="1" x14ac:dyDescent="0.25">
      <c r="A36" s="52">
        <v>45997</v>
      </c>
      <c r="B36" s="42">
        <v>0.1384</v>
      </c>
      <c r="C36" s="42">
        <v>24.157299999999999</v>
      </c>
      <c r="D36" s="42">
        <v>41.718899999999998</v>
      </c>
      <c r="E36" s="42">
        <v>32.104599999999998</v>
      </c>
      <c r="F36" s="42">
        <v>1.1314</v>
      </c>
      <c r="G36" s="42">
        <v>0.41599999999999998</v>
      </c>
      <c r="H36" s="42">
        <v>0.1047</v>
      </c>
      <c r="I36" s="42">
        <v>0.1236</v>
      </c>
      <c r="J36" s="42">
        <v>3.3999999999999998E-3</v>
      </c>
      <c r="K36" s="42">
        <v>6.1199999999999997E-2</v>
      </c>
      <c r="L36" s="42">
        <v>4.0500000000000001E-2</v>
      </c>
      <c r="M36" s="48">
        <f t="shared" si="0"/>
        <v>34</v>
      </c>
      <c r="N36" s="43" t="e">
        <f>AVERAGEIFS(#REF!,#REF!,'Fuel. Gas specifications'!A15)</f>
        <v>#REF!</v>
      </c>
      <c r="O36" s="43">
        <f t="shared" si="1"/>
        <v>56.261899999999997</v>
      </c>
      <c r="P36" s="44">
        <f t="shared" si="2"/>
        <v>424.07829290000001</v>
      </c>
      <c r="Q36" s="44" cm="1">
        <f t="array" ref="Q36">SUMPRODUCT(B36:L36/100,$B$7:$L$7)</f>
        <v>28.439536582999999</v>
      </c>
      <c r="R36" s="44">
        <f t="shared" si="3"/>
        <v>0.98202819692679555</v>
      </c>
      <c r="S36" s="44">
        <f t="shared" si="4"/>
        <v>474.24286520711411</v>
      </c>
      <c r="T36" s="44">
        <f t="shared" si="5"/>
        <v>469.96204480000006</v>
      </c>
      <c r="U36" s="44">
        <f t="shared" si="6"/>
        <v>7.4979004964408111E-2</v>
      </c>
      <c r="V36" s="45">
        <f t="shared" si="7"/>
        <v>5655.9605332360215</v>
      </c>
      <c r="W36" s="46">
        <f t="shared" si="8"/>
        <v>3.8423101061880542</v>
      </c>
      <c r="X36" s="47">
        <v>472.81099999999998</v>
      </c>
      <c r="Y36" s="46">
        <v>29.64</v>
      </c>
      <c r="Z36" s="47">
        <f>IF(Daily_fuel_gas_composition[[#This Row],[UCH 1 GCV]]&lt;400,0,(Daily_fuel_gas_composition[[#This Row],[UCH 1 GCV]]/(Daily_fuel_gas_composition[[#This Row],[HHV Calculated. 
(BTU/scf)]]/Daily_fuel_gas_composition[[#This Row],[LHV (BTU/scf)]]))/(0.997495*Daily_fuel_gas_composition[[#This Row],[Calculated Density
 (lb/scf)]]))</f>
        <v>5704.5373771130398</v>
      </c>
      <c r="AA36" s="63"/>
    </row>
    <row r="37" spans="1:27" s="33" customFormat="1" ht="16.2" customHeight="1" x14ac:dyDescent="0.25">
      <c r="A37" s="52">
        <v>45998</v>
      </c>
      <c r="B37" s="42">
        <v>0.1328</v>
      </c>
      <c r="C37" s="42">
        <v>23.7531</v>
      </c>
      <c r="D37" s="42">
        <v>41.944899999999997</v>
      </c>
      <c r="E37" s="42">
        <v>32.281500000000001</v>
      </c>
      <c r="F37" s="42">
        <v>1.1384000000000001</v>
      </c>
      <c r="G37" s="42">
        <v>0.4158</v>
      </c>
      <c r="H37" s="42">
        <v>0.1046</v>
      </c>
      <c r="I37" s="42">
        <v>0.1234</v>
      </c>
      <c r="J37" s="42">
        <v>3.8E-3</v>
      </c>
      <c r="K37" s="42">
        <v>6.13E-2</v>
      </c>
      <c r="L37" s="42">
        <v>4.0399999999999998E-2</v>
      </c>
      <c r="M37" s="48">
        <f t="shared" si="0"/>
        <v>38</v>
      </c>
      <c r="N37" s="43" t="e">
        <f>AVERAGEIFS(#REF!,#REF!,'Fuel. Gas specifications'!A16)</f>
        <v>#REF!</v>
      </c>
      <c r="O37" s="43">
        <f t="shared" si="1"/>
        <v>56.034599999999998</v>
      </c>
      <c r="P37" s="44">
        <f t="shared" si="2"/>
        <v>425.9889205999998</v>
      </c>
      <c r="Q37" s="44" cm="1">
        <f t="array" ref="Q37">SUMPRODUCT(B37:L37/100,$B$7:$L$7)</f>
        <v>28.437571651999995</v>
      </c>
      <c r="R37" s="44">
        <f t="shared" si="3"/>
        <v>0.98196034709944735</v>
      </c>
      <c r="S37" s="44">
        <f t="shared" si="4"/>
        <v>476.40657912908102</v>
      </c>
      <c r="T37" s="44">
        <f t="shared" si="5"/>
        <v>472.08991809999981</v>
      </c>
      <c r="U37" s="44">
        <f t="shared" si="6"/>
        <v>7.4973824550487733E-2</v>
      </c>
      <c r="V37" s="45">
        <f t="shared" si="7"/>
        <v>5681.8352692296876</v>
      </c>
      <c r="W37" s="46">
        <f t="shared" si="8"/>
        <v>3.8439387330559653</v>
      </c>
      <c r="X37" s="47">
        <v>472.58699999999999</v>
      </c>
      <c r="Y37" s="46">
        <v>23.65</v>
      </c>
      <c r="Z37" s="47">
        <f>IF(Daily_fuel_gas_composition[[#This Row],[UCH 1 GCV]]&lt;400,0,(Daily_fuel_gas_composition[[#This Row],[UCH 1 GCV]]/(Daily_fuel_gas_composition[[#This Row],[HHV Calculated. 
(BTU/scf)]]/Daily_fuel_gas_composition[[#This Row],[LHV (BTU/scf)]]))/(0.997495*Daily_fuel_gas_composition[[#This Row],[Calculated Density
 (lb/scf)]]))</f>
        <v>5702.1016599997311</v>
      </c>
      <c r="AA37" s="63"/>
    </row>
    <row r="38" spans="1:27" s="33" customFormat="1" ht="16.2" customHeight="1" x14ac:dyDescent="0.25">
      <c r="A38" s="52">
        <v>45999</v>
      </c>
      <c r="B38" s="42">
        <v>0.17299999999999999</v>
      </c>
      <c r="C38" s="42">
        <v>24.851900000000001</v>
      </c>
      <c r="D38" s="42">
        <v>41.679699999999997</v>
      </c>
      <c r="E38" s="42">
        <v>31.409700000000001</v>
      </c>
      <c r="F38" s="42">
        <v>1.1225000000000001</v>
      </c>
      <c r="G38" s="42">
        <v>0.41849999999999998</v>
      </c>
      <c r="H38" s="42">
        <v>0.107</v>
      </c>
      <c r="I38" s="42">
        <v>0.12759999999999999</v>
      </c>
      <c r="J38" s="42">
        <v>2.0999999999999999E-3</v>
      </c>
      <c r="K38" s="42">
        <v>6.4799999999999996E-2</v>
      </c>
      <c r="L38" s="42">
        <v>4.3200000000000002E-2</v>
      </c>
      <c r="M38" s="48">
        <f t="shared" si="0"/>
        <v>21</v>
      </c>
      <c r="N38" s="43" t="e">
        <f>AVERAGEIFS(#REF!,#REF!,'Fuel. Gas specifications'!A17)</f>
        <v>#REF!</v>
      </c>
      <c r="O38" s="43">
        <f t="shared" si="1"/>
        <v>56.261600000000001</v>
      </c>
      <c r="P38" s="44">
        <f t="shared" si="2"/>
        <v>425.57439419999986</v>
      </c>
      <c r="Q38" s="44" cm="1">
        <f t="array" ref="Q38">SUMPRODUCT(B38:L38/100,$B$7:$L$7)</f>
        <v>28.358008130999998</v>
      </c>
      <c r="R38" s="44">
        <f t="shared" si="3"/>
        <v>0.97921298794889489</v>
      </c>
      <c r="S38" s="44">
        <f t="shared" si="4"/>
        <v>476.54533768557064</v>
      </c>
      <c r="T38" s="44">
        <f t="shared" si="5"/>
        <v>471.56635040000003</v>
      </c>
      <c r="U38" s="44">
        <f t="shared" si="6"/>
        <v>7.4764060456103343E-2</v>
      </c>
      <c r="V38" s="45">
        <f t="shared" si="7"/>
        <v>5692.2322249989329</v>
      </c>
      <c r="W38" s="46">
        <f t="shared" si="8"/>
        <v>3.8340259054104502</v>
      </c>
      <c r="X38" s="47">
        <v>473.21499999999997</v>
      </c>
      <c r="Y38" s="46">
        <v>16.48</v>
      </c>
      <c r="Z38" s="47">
        <f>IF(Daily_fuel_gas_composition[[#This Row],[UCH 1 GCV]]&lt;400,0,(Daily_fuel_gas_composition[[#This Row],[UCH 1 GCV]]/(Daily_fuel_gas_composition[[#This Row],[HHV Calculated. 
(BTU/scf)]]/Daily_fuel_gas_composition[[#This Row],[LHV (BTU/scf)]]))/(0.997495*Daily_fuel_gas_composition[[#This Row],[Calculated Density
 (lb/scf)]]))</f>
        <v>5726.4777430751792</v>
      </c>
      <c r="AA38" s="63"/>
    </row>
    <row r="39" spans="1:27" s="33" customFormat="1" ht="16.2" customHeight="1" x14ac:dyDescent="0.25">
      <c r="A39" s="52">
        <v>46000</v>
      </c>
      <c r="B39" s="42">
        <v>0.16750000000000001</v>
      </c>
      <c r="C39" s="42">
        <v>24.811800000000002</v>
      </c>
      <c r="D39" s="42">
        <v>41.886899999999997</v>
      </c>
      <c r="E39" s="42">
        <v>31.246500000000001</v>
      </c>
      <c r="F39" s="42">
        <v>1.1278999999999999</v>
      </c>
      <c r="G39" s="42">
        <v>0.41839999999999999</v>
      </c>
      <c r="H39" s="42">
        <v>0.1067</v>
      </c>
      <c r="I39" s="42">
        <v>0.12670000000000001</v>
      </c>
      <c r="J39" s="42">
        <v>1.5E-3</v>
      </c>
      <c r="K39" s="42">
        <v>6.4000000000000001E-2</v>
      </c>
      <c r="L39" s="42">
        <v>4.2099999999999999E-2</v>
      </c>
      <c r="M39" s="48">
        <f t="shared" si="0"/>
        <v>15</v>
      </c>
      <c r="N39" s="43" t="e">
        <f>AVERAGEIFS(#REF!,#REF!,'Fuel. Gas specifications'!A18)</f>
        <v>#REF!</v>
      </c>
      <c r="O39" s="43">
        <f t="shared" si="1"/>
        <v>56.058300000000003</v>
      </c>
      <c r="P39" s="44">
        <f t="shared" si="2"/>
        <v>427.19156979999997</v>
      </c>
      <c r="Q39" s="44" cm="1">
        <f t="array" ref="Q39">SUMPRODUCT(B39:L39/100,$B$7:$L$7)</f>
        <v>28.302758835999999</v>
      </c>
      <c r="R39" s="44">
        <f t="shared" si="3"/>
        <v>0.97730520842541435</v>
      </c>
      <c r="S39" s="44">
        <f t="shared" si="4"/>
        <v>478.83622137195533</v>
      </c>
      <c r="T39" s="44">
        <f t="shared" si="5"/>
        <v>473.37149410000006</v>
      </c>
      <c r="U39" s="44">
        <f t="shared" si="6"/>
        <v>7.4618399251252299E-2</v>
      </c>
      <c r="V39" s="45">
        <f t="shared" si="7"/>
        <v>5725.0165386364879</v>
      </c>
      <c r="W39" s="46">
        <f t="shared" si="8"/>
        <v>3.8359913928175988</v>
      </c>
      <c r="X39" s="47">
        <v>475.32600000000002</v>
      </c>
      <c r="Y39" s="46">
        <v>15.08</v>
      </c>
      <c r="Z39" s="47">
        <f>IF(Daily_fuel_gas_composition[[#This Row],[UCH 1 GCV]]&lt;400,0,(Daily_fuel_gas_composition[[#This Row],[UCH 1 GCV]]/(Daily_fuel_gas_composition[[#This Row],[HHV Calculated. 
(BTU/scf)]]/Daily_fuel_gas_composition[[#This Row],[LHV (BTU/scf)]]))/(0.997495*Daily_fuel_gas_composition[[#This Row],[Calculated Density
 (lb/scf)]]))</f>
        <v>5763.0911309821786</v>
      </c>
      <c r="AA39" s="63"/>
    </row>
    <row r="40" spans="1:27" s="33" customFormat="1" ht="16.2" customHeight="1" x14ac:dyDescent="0.25">
      <c r="A40" s="52">
        <v>46001</v>
      </c>
      <c r="B40" s="42">
        <v>0.1691</v>
      </c>
      <c r="C40" s="42">
        <v>24.837299999999999</v>
      </c>
      <c r="D40" s="42">
        <v>41.658000000000001</v>
      </c>
      <c r="E40" s="42">
        <v>31.431999999999999</v>
      </c>
      <c r="F40" s="42">
        <v>1.1281000000000001</v>
      </c>
      <c r="G40" s="42">
        <v>0.42420000000000002</v>
      </c>
      <c r="H40" s="42">
        <v>0.1085</v>
      </c>
      <c r="I40" s="42">
        <v>0.13039999999999999</v>
      </c>
      <c r="J40" s="42">
        <v>1.8E-3</v>
      </c>
      <c r="K40" s="42">
        <v>6.6199999999999995E-2</v>
      </c>
      <c r="L40" s="42">
        <v>4.4499999999999998E-2</v>
      </c>
      <c r="M40" s="48">
        <f t="shared" si="0"/>
        <v>18</v>
      </c>
      <c r="N40" s="43" t="e">
        <f>AVERAGEIFS(#REF!,#REF!,'Fuel. Gas specifications'!A19)</f>
        <v>#REF!</v>
      </c>
      <c r="O40" s="43">
        <f t="shared" si="1"/>
        <v>56.269300000000001</v>
      </c>
      <c r="P40" s="44">
        <f t="shared" si="2"/>
        <v>425.65500074499926</v>
      </c>
      <c r="Q40" s="44" cm="1">
        <f t="array" ref="Q40">SUMPRODUCT(B40:L40/100,$B$7:$L$7)</f>
        <v>28.365432776999999</v>
      </c>
      <c r="R40" s="44">
        <f t="shared" si="3"/>
        <v>0.97946936384668504</v>
      </c>
      <c r="S40" s="44">
        <f t="shared" si="4"/>
        <v>476.56757224976133</v>
      </c>
      <c r="T40" s="44">
        <f t="shared" si="5"/>
        <v>471.65008384991609</v>
      </c>
      <c r="U40" s="44">
        <f t="shared" si="6"/>
        <v>7.4783635056683354E-2</v>
      </c>
      <c r="V40" s="45">
        <f t="shared" si="7"/>
        <v>5691.8201478487617</v>
      </c>
      <c r="W40" s="46">
        <f t="shared" si="8"/>
        <v>3.8331729912702643</v>
      </c>
      <c r="X40" s="47">
        <v>472.91800000000001</v>
      </c>
      <c r="Y40" s="46">
        <v>16.376999999999999</v>
      </c>
      <c r="Z40" s="47">
        <f>IF(Daily_fuel_gas_composition[[#This Row],[UCH 1 GCV]]&lt;400,0,(Daily_fuel_gas_composition[[#This Row],[UCH 1 GCV]]/(Daily_fuel_gas_composition[[#This Row],[HHV Calculated. 
(BTU/scf)]]/Daily_fuel_gas_composition[[#This Row],[LHV (BTU/scf)]]))/(0.997495*Daily_fuel_gas_composition[[#This Row],[Calculated Density
 (lb/scf)]]))</f>
        <v>5721.4534582110382</v>
      </c>
      <c r="AA40" s="63"/>
    </row>
    <row r="41" spans="1:27" ht="16.2" customHeight="1" x14ac:dyDescent="0.25">
      <c r="A41" s="52">
        <v>46002</v>
      </c>
      <c r="B41" s="42">
        <v>0.1431</v>
      </c>
      <c r="C41" s="42">
        <v>23.4511</v>
      </c>
      <c r="D41" s="42">
        <v>41.782200000000003</v>
      </c>
      <c r="E41" s="42">
        <v>32.714799999999997</v>
      </c>
      <c r="F41" s="42">
        <v>1.1435</v>
      </c>
      <c r="G41" s="42">
        <v>0.42370000000000002</v>
      </c>
      <c r="H41" s="42">
        <v>0.10639999999999999</v>
      </c>
      <c r="I41" s="42">
        <v>0.12570000000000001</v>
      </c>
      <c r="J41" s="42">
        <v>5.3E-3</v>
      </c>
      <c r="K41" s="42">
        <v>6.25E-2</v>
      </c>
      <c r="L41" s="42">
        <v>4.1799999999999997E-2</v>
      </c>
      <c r="M41" s="48">
        <f t="shared" si="0"/>
        <v>53</v>
      </c>
      <c r="N41" s="43" t="e">
        <f>AVERAGEIFS(#REF!,#REF!,'Fuel. Gas specifications'!A20)</f>
        <v>#REF!</v>
      </c>
      <c r="O41" s="43">
        <f t="shared" si="1"/>
        <v>56.165899999999993</v>
      </c>
      <c r="P41" s="44">
        <f t="shared" si="2"/>
        <v>425.45626574373426</v>
      </c>
      <c r="Q41" s="44" cm="1">
        <f t="array" ref="Q41">SUMPRODUCT(B41:L41/100,$B$7:$L$7)</f>
        <v>28.536229368000001</v>
      </c>
      <c r="R41" s="44">
        <f t="shared" si="3"/>
        <v>0.98536703618784527</v>
      </c>
      <c r="S41" s="44">
        <f t="shared" si="4"/>
        <v>474.96015862896036</v>
      </c>
      <c r="T41" s="44">
        <f t="shared" si="5"/>
        <v>471.4723148276853</v>
      </c>
      <c r="U41" s="44">
        <f t="shared" si="6"/>
        <v>7.5233929259161614E-2</v>
      </c>
      <c r="V41" s="45">
        <f t="shared" si="7"/>
        <v>5655.1115957023385</v>
      </c>
      <c r="W41" s="46">
        <f t="shared" si="8"/>
        <v>3.8398868387031766</v>
      </c>
      <c r="X41" s="47">
        <v>471.279</v>
      </c>
      <c r="Y41" s="46">
        <v>32.86</v>
      </c>
      <c r="Z41" s="47">
        <f>IF(Daily_fuel_gas_composition[[#This Row],[UCH 1 GCV]]&lt;400,0,(Daily_fuel_gas_composition[[#This Row],[UCH 1 GCV]]/(Daily_fuel_gas_composition[[#This Row],[HHV Calculated. 
(BTU/scf)]]/Daily_fuel_gas_composition[[#This Row],[LHV (BTU/scf)]]))/(0.997495*Daily_fuel_gas_composition[[#This Row],[Calculated Density
 (lb/scf)]]))</f>
        <v>5666.9886724900225</v>
      </c>
      <c r="AA41" s="63"/>
    </row>
    <row r="42" spans="1:27" ht="16.2" customHeight="1" x14ac:dyDescent="0.25">
      <c r="A42" s="52">
        <v>46003</v>
      </c>
      <c r="B42" s="42">
        <v>0.14879999999999999</v>
      </c>
      <c r="C42" s="42">
        <v>23.151800000000001</v>
      </c>
      <c r="D42" s="42">
        <v>41.8566</v>
      </c>
      <c r="E42" s="42">
        <v>32.931399999999996</v>
      </c>
      <c r="F42" s="42">
        <v>1.1466000000000001</v>
      </c>
      <c r="G42" s="42">
        <v>0.4229</v>
      </c>
      <c r="H42" s="42">
        <v>0.1065</v>
      </c>
      <c r="I42" s="42">
        <v>0.12540000000000001</v>
      </c>
      <c r="J42" s="42">
        <v>5.7000000000000002E-3</v>
      </c>
      <c r="K42" s="42">
        <v>6.2700000000000006E-2</v>
      </c>
      <c r="L42" s="42">
        <v>4.1700000000000001E-2</v>
      </c>
      <c r="M42" s="48">
        <f t="shared" ref="M42:M73" si="9">J42*10000</f>
        <v>57</v>
      </c>
      <c r="N42" s="43" t="e">
        <f>AVERAGEIFS(#REF!,#REF!,'Fuel. Gas specifications'!A21)</f>
        <v>#REF!</v>
      </c>
      <c r="O42" s="43">
        <f t="shared" ref="O42:O73" si="10">SUM(C42,E42)</f>
        <v>56.083199999999998</v>
      </c>
      <c r="P42" s="44">
        <f t="shared" ref="P42:P73" si="11">SUMPRODUCT($B$6:$L$6,B42:L42)/SUM(B42:L42)</f>
        <v>426.41554178445818</v>
      </c>
      <c r="Q42" s="44" cm="1">
        <f t="array" ref="Q42">SUMPRODUCT(B42:L42/100,$B$7:$L$7)</f>
        <v>28.56523181799999</v>
      </c>
      <c r="R42" s="44">
        <f t="shared" ref="R42:R73" si="12">Q42/28.96</f>
        <v>0.98636850200276205</v>
      </c>
      <c r="S42" s="44">
        <f t="shared" ref="S42:S73" si="13">T42/SQRT(R42)</f>
        <v>475.783523340042</v>
      </c>
      <c r="T42" s="44">
        <f t="shared" ref="T42:T73" si="14">SUMPRODUCT($B$5:$L$5,B42:L42)/SUM(B42:L42)</f>
        <v>472.52957517042472</v>
      </c>
      <c r="U42" s="44">
        <f t="shared" ref="U42:U73" si="15">Q42/379.3</f>
        <v>7.5310392349064031E-2</v>
      </c>
      <c r="V42" s="45">
        <f t="shared" ref="V42:V73" si="16">P42/U42</f>
        <v>5662.1075589145794</v>
      </c>
      <c r="W42" s="46">
        <f t="shared" ref="W42:W73" si="17">SUMPRODUCT($B$4:$L$4, B42:L42) / (SUMPRODUCT($B$3:$L$3, B42:L42) - E42)</f>
        <v>3.8390315090377274</v>
      </c>
      <c r="X42" s="47">
        <v>474.815</v>
      </c>
      <c r="Y42" s="46">
        <v>52.64</v>
      </c>
      <c r="Z42" s="47">
        <f>IF(Daily_fuel_gas_composition[[#This Row],[UCH 1 GCV]]&lt;400,0,(Daily_fuel_gas_composition[[#This Row],[UCH 1 GCV]]/(Daily_fuel_gas_composition[[#This Row],[HHV Calculated. 
(BTU/scf)]]/Daily_fuel_gas_composition[[#This Row],[LHV (BTU/scf)]]))/(0.997495*Daily_fuel_gas_composition[[#This Row],[Calculated Density
 (lb/scf)]]))</f>
        <v>5703.7807387246485</v>
      </c>
      <c r="AA42" s="63"/>
    </row>
    <row r="43" spans="1:27" ht="16.2" customHeight="1" x14ac:dyDescent="0.25">
      <c r="A43" s="52">
        <v>46004</v>
      </c>
      <c r="B43" s="42">
        <v>0.15210000000000001</v>
      </c>
      <c r="C43" s="42">
        <v>23.163900000000002</v>
      </c>
      <c r="D43" s="42">
        <v>41.765000000000001</v>
      </c>
      <c r="E43" s="42">
        <v>33.006900000000002</v>
      </c>
      <c r="F43" s="42">
        <v>1.1449</v>
      </c>
      <c r="G43" s="42">
        <v>0.42370000000000002</v>
      </c>
      <c r="H43" s="42">
        <v>0.1067</v>
      </c>
      <c r="I43" s="42">
        <v>0.1258</v>
      </c>
      <c r="J43" s="42">
        <v>6.1999999999999998E-3</v>
      </c>
      <c r="K43" s="42">
        <v>6.2899999999999998E-2</v>
      </c>
      <c r="L43" s="42">
        <v>4.2000000000000003E-2</v>
      </c>
      <c r="M43" s="48">
        <f t="shared" si="9"/>
        <v>62</v>
      </c>
      <c r="N43" s="43" t="e">
        <f>AVERAGEIFS(#REF!,#REF!,'Fuel. Gas specifications'!A22)</f>
        <v>#REF!</v>
      </c>
      <c r="O43" s="43">
        <f t="shared" si="10"/>
        <v>56.1708</v>
      </c>
      <c r="P43" s="44">
        <f t="shared" si="11"/>
        <v>425.75835544164443</v>
      </c>
      <c r="Q43" s="44" cm="1">
        <f t="array" ref="Q43">SUMPRODUCT(B43:L43/100,$B$7:$L$7)</f>
        <v>28.590718868000003</v>
      </c>
      <c r="R43" s="44">
        <f t="shared" si="12"/>
        <v>0.98724857969613267</v>
      </c>
      <c r="S43" s="44">
        <f t="shared" si="13"/>
        <v>474.83127266700313</v>
      </c>
      <c r="T43" s="44">
        <f t="shared" si="14"/>
        <v>471.79417320582667</v>
      </c>
      <c r="U43" s="44">
        <f t="shared" si="15"/>
        <v>7.5377587313472189E-2</v>
      </c>
      <c r="V43" s="45">
        <f t="shared" si="16"/>
        <v>5648.3415112644352</v>
      </c>
      <c r="W43" s="46">
        <f t="shared" si="17"/>
        <v>3.8379762229257972</v>
      </c>
      <c r="X43" s="47">
        <v>473.91800000000001</v>
      </c>
      <c r="Y43" s="46">
        <v>55.26</v>
      </c>
      <c r="Z43" s="47">
        <f>IF(Daily_fuel_gas_composition[[#This Row],[UCH 1 GCV]]&lt;400,0,(Daily_fuel_gas_composition[[#This Row],[UCH 1 GCV]]/(Daily_fuel_gas_composition[[#This Row],[HHV Calculated. 
(BTU/scf)]]/Daily_fuel_gas_composition[[#This Row],[LHV (BTU/scf)]]))/(0.997495*Daily_fuel_gas_composition[[#This Row],[Calculated Density
 (lb/scf)]]))</f>
        <v>5688.0165446365772</v>
      </c>
      <c r="AA43" s="63"/>
    </row>
    <row r="44" spans="1:27" ht="16.2" customHeight="1" x14ac:dyDescent="0.25">
      <c r="A44" s="52">
        <v>46006</v>
      </c>
      <c r="B44" s="42">
        <v>0.11749999999999999</v>
      </c>
      <c r="C44" s="42">
        <v>24.7361</v>
      </c>
      <c r="D44" s="42">
        <v>42.084899999999998</v>
      </c>
      <c r="E44" s="42">
        <v>31.1693</v>
      </c>
      <c r="F44" s="42">
        <v>1.1383000000000001</v>
      </c>
      <c r="G44" s="42">
        <v>0.42099999999999999</v>
      </c>
      <c r="H44" s="42">
        <v>0.10539999999999999</v>
      </c>
      <c r="I44" s="42">
        <v>0.1245</v>
      </c>
      <c r="J44" s="42">
        <v>2E-3</v>
      </c>
      <c r="K44" s="42">
        <v>6.0499999999999998E-2</v>
      </c>
      <c r="L44" s="42">
        <v>4.0399999999999998E-2</v>
      </c>
      <c r="M44" s="48">
        <f t="shared" si="9"/>
        <v>20</v>
      </c>
      <c r="N44" s="43" t="e">
        <f>AVERAGEIFS(#REF!,#REF!,'Fuel. Gas specifications'!A23)</f>
        <v>#REF!</v>
      </c>
      <c r="O44" s="43">
        <f t="shared" si="10"/>
        <v>55.9054</v>
      </c>
      <c r="P44" s="44">
        <f t="shared" si="11"/>
        <v>426.72444962444951</v>
      </c>
      <c r="Q44" s="44" cm="1">
        <f t="array" ref="Q44">SUMPRODUCT(B44:L44/100,$B$7:$L$7)</f>
        <v>28.234912011999999</v>
      </c>
      <c r="R44" s="44">
        <f t="shared" si="12"/>
        <v>0.97496243135359106</v>
      </c>
      <c r="S44" s="44">
        <f t="shared" si="13"/>
        <v>478.9582144957941</v>
      </c>
      <c r="T44" s="44">
        <f t="shared" si="14"/>
        <v>472.92423142423144</v>
      </c>
      <c r="U44" s="44">
        <f t="shared" si="15"/>
        <v>7.4439525473240176E-2</v>
      </c>
      <c r="V44" s="45">
        <f t="shared" si="16"/>
        <v>5732.4982515888032</v>
      </c>
      <c r="W44" s="46">
        <f t="shared" si="17"/>
        <v>3.8467508208805201</v>
      </c>
      <c r="X44" s="47">
        <v>471.03500000000003</v>
      </c>
      <c r="Y44" s="46">
        <v>12.53</v>
      </c>
      <c r="Z44" s="47">
        <f>IF(Daily_fuel_gas_composition[[#This Row],[UCH 1 GCV]]&lt;400,0,(Daily_fuel_gas_composition[[#This Row],[UCH 1 GCV]]/(Daily_fuel_gas_composition[[#This Row],[HHV Calculated. 
(BTU/scf)]]/Daily_fuel_gas_composition[[#This Row],[LHV (BTU/scf)]]))/(0.997495*Daily_fuel_gas_composition[[#This Row],[Calculated Density
 (lb/scf)]]))</f>
        <v>5723.9366050788185</v>
      </c>
      <c r="AA44" s="63"/>
    </row>
    <row r="45" spans="1:27" ht="16.2" customHeight="1" x14ac:dyDescent="0.25">
      <c r="A45" s="52">
        <v>46007</v>
      </c>
      <c r="B45" s="42">
        <v>0.14449999999999999</v>
      </c>
      <c r="C45" s="42">
        <v>23.058700000000002</v>
      </c>
      <c r="D45" s="42">
        <v>41.698</v>
      </c>
      <c r="E45" s="42">
        <v>33.199300000000001</v>
      </c>
      <c r="F45" s="42">
        <v>1.1407</v>
      </c>
      <c r="G45" s="42">
        <v>0.41959999999999997</v>
      </c>
      <c r="H45" s="42">
        <v>0.1056</v>
      </c>
      <c r="I45" s="42">
        <v>0.1241</v>
      </c>
      <c r="J45" s="42">
        <v>7.3000000000000001E-3</v>
      </c>
      <c r="K45" s="42">
        <v>6.1600000000000002E-2</v>
      </c>
      <c r="L45" s="42">
        <v>4.0399999999999998E-2</v>
      </c>
      <c r="M45" s="48">
        <f t="shared" si="9"/>
        <v>73</v>
      </c>
      <c r="N45" s="43" t="e">
        <f>AVERAGEIFS(#REF!,#REF!,'Fuel. Gas specifications'!A24)</f>
        <v>#REF!</v>
      </c>
      <c r="O45" s="43">
        <f t="shared" si="10"/>
        <v>56.258000000000003</v>
      </c>
      <c r="P45" s="44">
        <f t="shared" si="11"/>
        <v>424.4676164352328</v>
      </c>
      <c r="Q45" s="44" cm="1">
        <f t="array" ref="Q45">SUMPRODUCT(B45:L45/100,$B$7:$L$7)</f>
        <v>28.622210338999999</v>
      </c>
      <c r="R45" s="44">
        <f t="shared" si="12"/>
        <v>0.98833599236878444</v>
      </c>
      <c r="S45" s="44">
        <f t="shared" si="13"/>
        <v>473.14706723472295</v>
      </c>
      <c r="T45" s="44">
        <f t="shared" si="14"/>
        <v>470.37957805915613</v>
      </c>
      <c r="U45" s="44">
        <f t="shared" si="15"/>
        <v>7.5460612546796729E-2</v>
      </c>
      <c r="V45" s="45">
        <f t="shared" si="16"/>
        <v>5625.0221421407114</v>
      </c>
      <c r="W45" s="46">
        <f t="shared" si="17"/>
        <v>3.8404426305381429</v>
      </c>
      <c r="X45" s="47">
        <v>470.774</v>
      </c>
      <c r="Y45" s="46">
        <v>34.26</v>
      </c>
      <c r="Z45" s="47">
        <f>IF(Daily_fuel_gas_composition[[#This Row],[UCH 1 GCV]]&lt;400,0,(Daily_fuel_gas_composition[[#This Row],[UCH 1 GCV]]/(Daily_fuel_gas_composition[[#This Row],[HHV Calculated. 
(BTU/scf)]]/Daily_fuel_gas_composition[[#This Row],[LHV (BTU/scf)]]))/(0.997495*Daily_fuel_gas_composition[[#This Row],[Calculated Density
 (lb/scf)]]))</f>
        <v>5643.8767380516065</v>
      </c>
      <c r="AA45" s="63"/>
    </row>
    <row r="46" spans="1:27" s="33" customFormat="1" ht="16.2" customHeight="1" x14ac:dyDescent="0.25">
      <c r="A46" s="52">
        <v>46008</v>
      </c>
      <c r="B46" s="42">
        <v>0.1326</v>
      </c>
      <c r="C46" s="42">
        <v>23.471399999999999</v>
      </c>
      <c r="D46" s="42">
        <v>41.911999999999999</v>
      </c>
      <c r="E46" s="42">
        <v>32.568899999999999</v>
      </c>
      <c r="F46" s="42">
        <v>1.1482000000000001</v>
      </c>
      <c r="G46" s="42">
        <v>0.42549999999999999</v>
      </c>
      <c r="H46" s="42">
        <v>0.107</v>
      </c>
      <c r="I46" s="42">
        <v>0.126</v>
      </c>
      <c r="J46" s="42">
        <v>4.1000000000000003E-3</v>
      </c>
      <c r="K46" s="42">
        <v>6.2399999999999997E-2</v>
      </c>
      <c r="L46" s="42">
        <v>4.19E-2</v>
      </c>
      <c r="M46" s="48">
        <f t="shared" si="9"/>
        <v>41</v>
      </c>
      <c r="N46" s="43" t="e">
        <f>AVERAGEIFS(#REF!,#REF!,'Fuel. Gas specifications'!A25)</f>
        <v>#REF!</v>
      </c>
      <c r="O46" s="43">
        <f t="shared" si="10"/>
        <v>56.040300000000002</v>
      </c>
      <c r="P46" s="44">
        <f t="shared" si="11"/>
        <v>426.31244160000006</v>
      </c>
      <c r="Q46" s="44" cm="1">
        <f t="array" ref="Q46">SUMPRODUCT(B46:L46/100,$B$7:$L$7)</f>
        <v>28.491801828999996</v>
      </c>
      <c r="R46" s="44">
        <f t="shared" si="12"/>
        <v>0.98383293608425404</v>
      </c>
      <c r="S46" s="44">
        <f t="shared" si="13"/>
        <v>476.30039702377235</v>
      </c>
      <c r="T46" s="44">
        <f t="shared" si="14"/>
        <v>472.43451890000011</v>
      </c>
      <c r="U46" s="44">
        <f t="shared" si="15"/>
        <v>7.5116798916424976E-2</v>
      </c>
      <c r="V46" s="45">
        <f t="shared" si="16"/>
        <v>5675.3275931568342</v>
      </c>
      <c r="W46" s="46">
        <f t="shared" si="17"/>
        <v>3.8418611471906803</v>
      </c>
      <c r="X46" s="47">
        <v>477.90300000000002</v>
      </c>
      <c r="Y46" s="46">
        <v>30.08</v>
      </c>
      <c r="Z46" s="47">
        <f>IF(Daily_fuel_gas_composition[[#This Row],[UCH 1 GCV]]&lt;400,0,(Daily_fuel_gas_composition[[#This Row],[UCH 1 GCV]]/(Daily_fuel_gas_composition[[#This Row],[HHV Calculated. 
(BTU/scf)]]/Daily_fuel_gas_composition[[#This Row],[LHV (BTU/scf)]]))/(0.997495*Daily_fuel_gas_composition[[#This Row],[Calculated Density
 (lb/scf)]]))</f>
        <v>5755.4375001773406</v>
      </c>
      <c r="AA46" s="63"/>
    </row>
    <row r="47" spans="1:27" s="33" customFormat="1" ht="16.2" customHeight="1" x14ac:dyDescent="0.25">
      <c r="A47" s="52">
        <v>46009</v>
      </c>
      <c r="B47" s="42">
        <v>0.13700000000000001</v>
      </c>
      <c r="C47" s="42">
        <v>23.237300000000001</v>
      </c>
      <c r="D47" s="42">
        <v>41.981499999999997</v>
      </c>
      <c r="E47" s="42">
        <v>32.724800000000002</v>
      </c>
      <c r="F47" s="42">
        <v>1.1516</v>
      </c>
      <c r="G47" s="42">
        <v>0.42549999999999999</v>
      </c>
      <c r="H47" s="42">
        <v>0.1071</v>
      </c>
      <c r="I47" s="42">
        <v>0.126</v>
      </c>
      <c r="J47" s="42">
        <v>4.1999999999999997E-3</v>
      </c>
      <c r="K47" s="42">
        <v>6.2799999999999995E-2</v>
      </c>
      <c r="L47" s="42">
        <v>4.2200000000000001E-2</v>
      </c>
      <c r="M47" s="48">
        <f t="shared" si="9"/>
        <v>42</v>
      </c>
      <c r="N47" s="43" t="e">
        <f>AVERAGEIFS(#REF!,#REF!,'Fuel. Gas specifications'!A26)</f>
        <v>#REF!</v>
      </c>
      <c r="O47" s="43">
        <f t="shared" si="10"/>
        <v>55.962100000000007</v>
      </c>
      <c r="P47" s="44">
        <f t="shared" si="11"/>
        <v>427.22278150000005</v>
      </c>
      <c r="Q47" s="44" cm="1">
        <f t="array" ref="Q47">SUMPRODUCT(B47:L47/100,$B$7:$L$7)</f>
        <v>28.511396292000001</v>
      </c>
      <c r="R47" s="44">
        <f t="shared" si="12"/>
        <v>0.98450954046961325</v>
      </c>
      <c r="S47" s="44">
        <f t="shared" si="13"/>
        <v>477.14785763398868</v>
      </c>
      <c r="T47" s="44">
        <f t="shared" si="14"/>
        <v>473.43781419999993</v>
      </c>
      <c r="U47" s="44">
        <f t="shared" si="15"/>
        <v>7.516845845504877E-2</v>
      </c>
      <c r="V47" s="45">
        <f t="shared" si="16"/>
        <v>5683.5378865123603</v>
      </c>
      <c r="W47" s="46">
        <f t="shared" si="17"/>
        <v>3.8410262413096832</v>
      </c>
      <c r="X47" s="47">
        <v>476.38299999999998</v>
      </c>
      <c r="Y47" s="46">
        <v>37.880000000000003</v>
      </c>
      <c r="Z47" s="47">
        <f>IF(Daily_fuel_gas_composition[[#This Row],[UCH 1 GCV]]&lt;400,0,(Daily_fuel_gas_composition[[#This Row],[UCH 1 GCV]]/(Daily_fuel_gas_composition[[#This Row],[HHV Calculated. 
(BTU/scf)]]/Daily_fuel_gas_composition[[#This Row],[LHV (BTU/scf)]]))/(0.997495*Daily_fuel_gas_composition[[#This Row],[Calculated Density
 (lb/scf)]]))</f>
        <v>5733.2561318672433</v>
      </c>
      <c r="AA47" s="63"/>
    </row>
    <row r="48" spans="1:27" s="33" customFormat="1" ht="16.2" customHeight="1" x14ac:dyDescent="0.25">
      <c r="A48" s="52">
        <v>46010</v>
      </c>
      <c r="B48" s="42">
        <v>0.14119999999999999</v>
      </c>
      <c r="C48" s="42">
        <v>23.213699999999999</v>
      </c>
      <c r="D48" s="42">
        <v>42.065600000000003</v>
      </c>
      <c r="E48" s="42">
        <v>32.657699999999998</v>
      </c>
      <c r="F48" s="42">
        <v>1.1533</v>
      </c>
      <c r="G48" s="42">
        <v>0.42609999999999998</v>
      </c>
      <c r="H48" s="42">
        <v>0.1071</v>
      </c>
      <c r="I48" s="42">
        <v>0.12609999999999999</v>
      </c>
      <c r="J48" s="42">
        <v>4.3E-3</v>
      </c>
      <c r="K48" s="42">
        <v>6.2799999999999995E-2</v>
      </c>
      <c r="L48" s="42">
        <v>4.2200000000000001E-2</v>
      </c>
      <c r="M48" s="48">
        <f t="shared" si="9"/>
        <v>43</v>
      </c>
      <c r="N48" s="43" t="e">
        <f>AVERAGEIFS(#REF!,#REF!,'Fuel. Gas specifications'!A27)</f>
        <v>#REF!</v>
      </c>
      <c r="O48" s="43">
        <f t="shared" si="10"/>
        <v>55.871399999999994</v>
      </c>
      <c r="P48" s="44">
        <f t="shared" si="11"/>
        <v>428.21712318287683</v>
      </c>
      <c r="Q48" s="44" cm="1">
        <f t="array" ref="Q48">SUMPRODUCT(B48:L48/100,$B$7:$L$7)</f>
        <v>28.493234086000001</v>
      </c>
      <c r="R48" s="44">
        <f t="shared" si="12"/>
        <v>0.98388239247237574</v>
      </c>
      <c r="S48" s="44">
        <f t="shared" si="13"/>
        <v>478.40662312365208</v>
      </c>
      <c r="T48" s="44">
        <f t="shared" si="14"/>
        <v>474.53557666442333</v>
      </c>
      <c r="U48" s="44">
        <f t="shared" si="15"/>
        <v>7.5120574969680998E-2</v>
      </c>
      <c r="V48" s="45">
        <f t="shared" si="16"/>
        <v>5700.3973060071385</v>
      </c>
      <c r="W48" s="46">
        <f t="shared" si="17"/>
        <v>3.8404020393906855</v>
      </c>
      <c r="X48" s="47">
        <v>477.87</v>
      </c>
      <c r="Y48" s="46">
        <v>38.33</v>
      </c>
      <c r="Z48" s="47">
        <f>IF(Daily_fuel_gas_composition[[#This Row],[UCH 1 GCV]]&lt;400,0,(Daily_fuel_gas_composition[[#This Row],[UCH 1 GCV]]/(Daily_fuel_gas_composition[[#This Row],[HHV Calculated. 
(BTU/scf)]]/Daily_fuel_gas_composition[[#This Row],[LHV (BTU/scf)]]))/(0.997495*Daily_fuel_gas_composition[[#This Row],[Calculated Density
 (lb/scf)]]))</f>
        <v>5754.8682832479717</v>
      </c>
      <c r="AA48" s="63"/>
    </row>
    <row r="49" spans="1:27" s="33" customFormat="1" ht="16.2" customHeight="1" x14ac:dyDescent="0.25">
      <c r="A49" s="52">
        <v>46011</v>
      </c>
      <c r="B49" s="42">
        <v>0.1426</v>
      </c>
      <c r="C49" s="42">
        <v>23.484100000000002</v>
      </c>
      <c r="D49" s="42">
        <v>41.879399999999997</v>
      </c>
      <c r="E49" s="42">
        <v>32.593699999999998</v>
      </c>
      <c r="F49" s="42">
        <v>1.1429</v>
      </c>
      <c r="G49" s="42">
        <v>0.42</v>
      </c>
      <c r="H49" s="42">
        <v>0.1057</v>
      </c>
      <c r="I49" s="42">
        <v>0.1246</v>
      </c>
      <c r="J49" s="42">
        <v>3.3999999999999998E-3</v>
      </c>
      <c r="K49" s="42">
        <v>6.2199999999999998E-2</v>
      </c>
      <c r="L49" s="42">
        <v>4.1300000000000003E-2</v>
      </c>
      <c r="M49" s="48">
        <f t="shared" si="9"/>
        <v>34</v>
      </c>
      <c r="N49" s="43" t="e">
        <f>AVERAGEIFS(#REF!,#REF!,'Fuel. Gas specifications'!A28)</f>
        <v>#REF!</v>
      </c>
      <c r="O49" s="43">
        <f t="shared" si="10"/>
        <v>56.077799999999996</v>
      </c>
      <c r="P49" s="44">
        <f t="shared" si="11"/>
        <v>426.12876932876924</v>
      </c>
      <c r="Q49" s="44" cm="1">
        <f t="array" ref="Q49">SUMPRODUCT(B49:L49/100,$B$7:$L$7)</f>
        <v>28.503257515999991</v>
      </c>
      <c r="R49" s="44">
        <f t="shared" si="12"/>
        <v>0.98422850538674</v>
      </c>
      <c r="S49" s="44">
        <f t="shared" si="13"/>
        <v>475.99316453074681</v>
      </c>
      <c r="T49" s="44">
        <f t="shared" si="14"/>
        <v>472.22468502468502</v>
      </c>
      <c r="U49" s="44">
        <f t="shared" si="15"/>
        <v>7.5147001096757163E-2</v>
      </c>
      <c r="V49" s="45">
        <f t="shared" si="16"/>
        <v>5670.6024606370893</v>
      </c>
      <c r="W49" s="46">
        <f t="shared" si="17"/>
        <v>3.8408449376041229</v>
      </c>
      <c r="X49" s="47">
        <v>474.65199999999999</v>
      </c>
      <c r="Y49" s="46">
        <v>33.89</v>
      </c>
      <c r="Z49" s="47">
        <f>IF(Daily_fuel_gas_composition[[#This Row],[UCH 1 GCV]]&lt;400,0,(Daily_fuel_gas_composition[[#This Row],[UCH 1 GCV]]/(Daily_fuel_gas_composition[[#This Row],[HHV Calculated. 
(BTU/scf)]]/Daily_fuel_gas_composition[[#This Row],[LHV (BTU/scf)]]))/(0.997495*Daily_fuel_gas_composition[[#This Row],[Calculated Density
 (lb/scf)]]))</f>
        <v>5714.0640495228163</v>
      </c>
      <c r="AA49" s="63"/>
    </row>
    <row r="50" spans="1:27" s="33" customFormat="1" ht="16.2" customHeight="1" x14ac:dyDescent="0.25">
      <c r="A50" s="52">
        <v>46012</v>
      </c>
      <c r="B50" s="42">
        <v>0.13350000000000001</v>
      </c>
      <c r="C50" s="42">
        <v>23.248999999999999</v>
      </c>
      <c r="D50" s="42">
        <v>41.734000000000002</v>
      </c>
      <c r="E50" s="42">
        <v>32.976799999999997</v>
      </c>
      <c r="F50" s="42">
        <v>1.1435999999999999</v>
      </c>
      <c r="G50" s="42">
        <v>0.42270000000000002</v>
      </c>
      <c r="H50" s="42">
        <v>0.10630000000000001</v>
      </c>
      <c r="I50" s="42">
        <v>0.125</v>
      </c>
      <c r="J50" s="42">
        <v>5.3E-3</v>
      </c>
      <c r="K50" s="42">
        <v>6.2100000000000002E-2</v>
      </c>
      <c r="L50" s="42">
        <v>4.1599999999999998E-2</v>
      </c>
      <c r="M50" s="48">
        <f t="shared" si="9"/>
        <v>53</v>
      </c>
      <c r="N50" s="43" t="e">
        <f>AVERAGEIFS(#REF!,#REF!,'Fuel. Gas specifications'!A29)</f>
        <v>#REF!</v>
      </c>
      <c r="O50" s="43">
        <f t="shared" si="10"/>
        <v>56.225799999999992</v>
      </c>
      <c r="P50" s="44">
        <f t="shared" si="11"/>
        <v>424.52820402820396</v>
      </c>
      <c r="Q50" s="44" cm="1">
        <f t="array" ref="Q50">SUMPRODUCT(B50:L50/100,$B$7:$L$7)</f>
        <v>28.577606792999994</v>
      </c>
      <c r="R50" s="44">
        <f t="shared" si="12"/>
        <v>0.98679581467541411</v>
      </c>
      <c r="S50" s="44">
        <f t="shared" si="13"/>
        <v>473.59346763226398</v>
      </c>
      <c r="T50" s="44">
        <f t="shared" si="14"/>
        <v>470.4563695563694</v>
      </c>
      <c r="U50" s="44">
        <f t="shared" si="15"/>
        <v>7.5343018172950152E-2</v>
      </c>
      <c r="V50" s="45">
        <f t="shared" si="16"/>
        <v>5634.6057580769866</v>
      </c>
      <c r="W50" s="46">
        <f t="shared" si="17"/>
        <v>3.8418016577607608</v>
      </c>
      <c r="X50" s="47">
        <v>476.2</v>
      </c>
      <c r="Y50" s="46">
        <v>53.84</v>
      </c>
      <c r="Z50" s="47">
        <f>IF(Daily_fuel_gas_composition[[#This Row],[UCH 1 GCV]]&lt;400,0,(Daily_fuel_gas_composition[[#This Row],[UCH 1 GCV]]/(Daily_fuel_gas_composition[[#This Row],[HHV Calculated. 
(BTU/scf)]]/Daily_fuel_gas_composition[[#This Row],[LHV (BTU/scf)]]))/(0.997495*Daily_fuel_gas_composition[[#This Row],[Calculated Density
 (lb/scf)]]))</f>
        <v>5717.7194946037744</v>
      </c>
      <c r="AA50" s="63"/>
    </row>
    <row r="51" spans="1:27" s="33" customFormat="1" ht="16.2" customHeight="1" x14ac:dyDescent="0.25">
      <c r="A51" s="52">
        <v>46013</v>
      </c>
      <c r="B51" s="42">
        <v>0.14360000000000001</v>
      </c>
      <c r="C51" s="42">
        <v>23.430399999999999</v>
      </c>
      <c r="D51" s="42">
        <v>41.829599999999999</v>
      </c>
      <c r="E51" s="42">
        <v>32.692399999999999</v>
      </c>
      <c r="F51" s="42">
        <v>1.1433</v>
      </c>
      <c r="G51" s="42">
        <v>0.42170000000000002</v>
      </c>
      <c r="H51" s="42">
        <v>0.106</v>
      </c>
      <c r="I51" s="42">
        <v>0.125</v>
      </c>
      <c r="J51" s="42">
        <v>4.4000000000000003E-3</v>
      </c>
      <c r="K51" s="42">
        <v>6.2199999999999998E-2</v>
      </c>
      <c r="L51" s="42">
        <v>4.1399999999999999E-2</v>
      </c>
      <c r="M51" s="48">
        <f t="shared" si="9"/>
        <v>44</v>
      </c>
      <c r="N51" s="43" t="e">
        <f>AVERAGEIFS(#REF!,#REF!,'Fuel. Gas specifications'!A30)</f>
        <v>#REF!</v>
      </c>
      <c r="O51" s="43">
        <f t="shared" si="10"/>
        <v>56.122799999999998</v>
      </c>
      <c r="P51" s="44">
        <f t="shared" si="11"/>
        <v>425.79594739999993</v>
      </c>
      <c r="Q51" s="44" cm="1">
        <f t="array" ref="Q51">SUMPRODUCT(B51:L51/100,$B$7:$L$7)</f>
        <v>28.526214500999998</v>
      </c>
      <c r="R51" s="44">
        <f t="shared" si="12"/>
        <v>0.9850212189571822</v>
      </c>
      <c r="S51" s="44">
        <f t="shared" si="13"/>
        <v>475.42591338469316</v>
      </c>
      <c r="T51" s="44">
        <f t="shared" si="14"/>
        <v>471.85182869999994</v>
      </c>
      <c r="U51" s="44">
        <f t="shared" si="15"/>
        <v>7.520752570788293E-2</v>
      </c>
      <c r="V51" s="45">
        <f t="shared" si="16"/>
        <v>5661.6135605079453</v>
      </c>
      <c r="W51" s="46">
        <f t="shared" si="17"/>
        <v>3.8402974526527265</v>
      </c>
      <c r="X51" s="47">
        <v>476.80099999999999</v>
      </c>
      <c r="Y51" s="46">
        <v>29.3</v>
      </c>
      <c r="Z51" s="47">
        <f>IF(Daily_fuel_gas_composition[[#This Row],[UCH 1 GCV]]&lt;400,0,(Daily_fuel_gas_composition[[#This Row],[UCH 1 GCV]]/(Daily_fuel_gas_composition[[#This Row],[HHV Calculated. 
(BTU/scf)]]/Daily_fuel_gas_composition[[#This Row],[LHV (BTU/scf)]]))/(0.997495*Daily_fuel_gas_composition[[#This Row],[Calculated Density
 (lb/scf)]]))</f>
        <v>5735.3643225035858</v>
      </c>
      <c r="AA51" s="63"/>
    </row>
    <row r="52" spans="1:27" s="33" customFormat="1" ht="16.2" customHeight="1" x14ac:dyDescent="0.25">
      <c r="A52" s="52">
        <v>46014</v>
      </c>
      <c r="B52" s="42">
        <v>0.13650000000000001</v>
      </c>
      <c r="C52" s="42">
        <v>23.106100000000001</v>
      </c>
      <c r="D52" s="42">
        <v>42.030099999999997</v>
      </c>
      <c r="E52" s="42">
        <v>32.804400000000001</v>
      </c>
      <c r="F52" s="42">
        <v>1.1538999999999999</v>
      </c>
      <c r="G52" s="42">
        <v>0.4264</v>
      </c>
      <c r="H52" s="42">
        <v>0.1072</v>
      </c>
      <c r="I52" s="42">
        <v>0.12609999999999999</v>
      </c>
      <c r="J52" s="42">
        <v>4.5999999999999999E-3</v>
      </c>
      <c r="K52" s="42">
        <v>6.2600000000000003E-2</v>
      </c>
      <c r="L52" s="42">
        <v>4.2099999999999999E-2</v>
      </c>
      <c r="M52" s="48">
        <f t="shared" si="9"/>
        <v>46</v>
      </c>
      <c r="N52" s="43" t="e">
        <f>AVERAGEIFS(#REF!,#REF!,'Fuel. Gas specifications'!A31)</f>
        <v>#REF!</v>
      </c>
      <c r="O52" s="43">
        <f t="shared" si="10"/>
        <v>55.910499999999999</v>
      </c>
      <c r="P52" s="44">
        <f t="shared" si="11"/>
        <v>427.69804859999999</v>
      </c>
      <c r="Q52" s="44" cm="1">
        <f t="array" ref="Q52">SUMPRODUCT(B52:L52/100,$B$7:$L$7)</f>
        <v>28.518165808000003</v>
      </c>
      <c r="R52" s="44">
        <f t="shared" si="12"/>
        <v>0.9847432944751382</v>
      </c>
      <c r="S52" s="44">
        <f t="shared" si="13"/>
        <v>477.62277117401737</v>
      </c>
      <c r="T52" s="44">
        <f t="shared" si="14"/>
        <v>473.96529229999993</v>
      </c>
      <c r="U52" s="44">
        <f t="shared" si="15"/>
        <v>7.5186305847614029E-2</v>
      </c>
      <c r="V52" s="45">
        <f t="shared" si="16"/>
        <v>5688.5099457718952</v>
      </c>
      <c r="W52" s="46">
        <f t="shared" si="17"/>
        <v>3.841174456285704</v>
      </c>
      <c r="X52" s="47">
        <v>476.25</v>
      </c>
      <c r="Y52" s="46">
        <v>42.38</v>
      </c>
      <c r="Z52" s="47">
        <f>IF(Daily_fuel_gas_composition[[#This Row],[UCH 1 GCV]]&lt;400,0,(Daily_fuel_gas_composition[[#This Row],[UCH 1 GCV]]/(Daily_fuel_gas_composition[[#This Row],[HHV Calculated. 
(BTU/scf)]]/Daily_fuel_gas_composition[[#This Row],[LHV (BTU/scf)]]))/(0.997495*Daily_fuel_gas_composition[[#This Row],[Calculated Density
 (lb/scf)]]))</f>
        <v>5730.2852685828238</v>
      </c>
      <c r="AA52" s="63"/>
    </row>
    <row r="53" spans="1:27" s="33" customFormat="1" ht="16.2" customHeight="1" x14ac:dyDescent="0.25">
      <c r="A53" s="52">
        <v>46015</v>
      </c>
      <c r="B53" s="42">
        <v>0.13320000000000001</v>
      </c>
      <c r="C53" s="42">
        <v>23.1189</v>
      </c>
      <c r="D53" s="42">
        <v>42.021799999999999</v>
      </c>
      <c r="E53" s="42">
        <v>32.801499999999997</v>
      </c>
      <c r="F53" s="42">
        <v>1.1548</v>
      </c>
      <c r="G53" s="42">
        <v>0.42680000000000001</v>
      </c>
      <c r="H53" s="42">
        <v>0.10730000000000001</v>
      </c>
      <c r="I53" s="42">
        <v>0.12609999999999999</v>
      </c>
      <c r="J53" s="42">
        <v>4.7000000000000002E-3</v>
      </c>
      <c r="K53" s="42">
        <v>6.2600000000000003E-2</v>
      </c>
      <c r="L53" s="42">
        <v>4.2299999999999997E-2</v>
      </c>
      <c r="M53" s="48">
        <f t="shared" si="9"/>
        <v>47</v>
      </c>
      <c r="N53" s="43" t="e">
        <f>AVERAGEIFS(#REF!,#REF!,'Fuel. Gas specifications'!A32)</f>
        <v>#REF!</v>
      </c>
      <c r="O53" s="43">
        <f t="shared" si="10"/>
        <v>55.920400000000001</v>
      </c>
      <c r="P53" s="44">
        <f t="shared" si="11"/>
        <v>427.51207190000008</v>
      </c>
      <c r="Q53" s="44" cm="1">
        <f t="array" ref="Q53">SUMPRODUCT(B53:L53/100,$B$7:$L$7)</f>
        <v>28.516983292999999</v>
      </c>
      <c r="R53" s="44">
        <f t="shared" si="12"/>
        <v>0.98470246177486187</v>
      </c>
      <c r="S53" s="44">
        <f t="shared" si="13"/>
        <v>477.42822697986782</v>
      </c>
      <c r="T53" s="44">
        <f t="shared" si="14"/>
        <v>473.76241520000002</v>
      </c>
      <c r="U53" s="44">
        <f t="shared" si="15"/>
        <v>7.5183188223042444E-2</v>
      </c>
      <c r="V53" s="45">
        <f t="shared" si="16"/>
        <v>5686.2721840382728</v>
      </c>
      <c r="W53" s="46">
        <f t="shared" si="17"/>
        <v>3.8416723940913862</v>
      </c>
      <c r="X53" s="47">
        <v>476.04500000000002</v>
      </c>
      <c r="Y53" s="46">
        <v>42.13</v>
      </c>
      <c r="Z53" s="47">
        <f>IF(Daily_fuel_gas_composition[[#This Row],[UCH 1 GCV]]&lt;400,0,(Daily_fuel_gas_composition[[#This Row],[UCH 1 GCV]]/(Daily_fuel_gas_composition[[#This Row],[HHV Calculated. 
(BTU/scf)]]/Daily_fuel_gas_composition[[#This Row],[LHV (BTU/scf)]]))/(0.997495*Daily_fuel_gas_composition[[#This Row],[Calculated Density
 (lb/scf)]]))</f>
        <v>5728.0172965456459</v>
      </c>
      <c r="AA53" s="63"/>
    </row>
    <row r="54" spans="1:27" s="33" customFormat="1" ht="16.2" customHeight="1" x14ac:dyDescent="0.25">
      <c r="A54" s="52">
        <v>46016</v>
      </c>
      <c r="B54" s="42">
        <v>0.13320000000000001</v>
      </c>
      <c r="C54" s="42">
        <v>23.069199999999999</v>
      </c>
      <c r="D54" s="42">
        <v>41.982199999999999</v>
      </c>
      <c r="E54" s="42">
        <v>32.890900000000002</v>
      </c>
      <c r="F54" s="42">
        <v>1.1541999999999999</v>
      </c>
      <c r="G54" s="42">
        <v>0.42659999999999998</v>
      </c>
      <c r="H54" s="42">
        <v>0.10730000000000001</v>
      </c>
      <c r="I54" s="42">
        <v>0.12609999999999999</v>
      </c>
      <c r="J54" s="42">
        <v>5.1999999999999998E-3</v>
      </c>
      <c r="K54" s="42">
        <v>6.2700000000000006E-2</v>
      </c>
      <c r="L54" s="42">
        <v>4.2299999999999997E-2</v>
      </c>
      <c r="M54" s="48">
        <f t="shared" si="9"/>
        <v>52</v>
      </c>
      <c r="N54" s="43" t="e">
        <f>AVERAGEIFS(#REF!,#REF!,'Fuel. Gas specifications'!A33)</f>
        <v>#REF!</v>
      </c>
      <c r="O54" s="43">
        <f t="shared" si="10"/>
        <v>55.960099999999997</v>
      </c>
      <c r="P54" s="44">
        <f t="shared" si="11"/>
        <v>427.14466764466772</v>
      </c>
      <c r="Q54" s="44" cm="1">
        <f t="array" ref="Q54">SUMPRODUCT(B54:L54/100,$B$7:$L$7)</f>
        <v>28.536026679999996</v>
      </c>
      <c r="R54" s="44">
        <f t="shared" si="12"/>
        <v>0.98536003729281751</v>
      </c>
      <c r="S54" s="44">
        <f t="shared" si="13"/>
        <v>476.85792619469788</v>
      </c>
      <c r="T54" s="44">
        <f t="shared" si="14"/>
        <v>473.35446515446523</v>
      </c>
      <c r="U54" s="44">
        <f t="shared" si="15"/>
        <v>7.5233394885315039E-2</v>
      </c>
      <c r="V54" s="45">
        <f t="shared" si="16"/>
        <v>5677.5939500776531</v>
      </c>
      <c r="W54" s="46">
        <f t="shared" si="17"/>
        <v>3.8415829991511274</v>
      </c>
      <c r="X54" s="47">
        <v>475.63900000000001</v>
      </c>
      <c r="Y54" s="46">
        <v>43.58</v>
      </c>
      <c r="Z54" s="47">
        <f>IF(Daily_fuel_gas_composition[[#This Row],[UCH 1 GCV]]&lt;400,0,(Daily_fuel_gas_composition[[#This Row],[UCH 1 GCV]]/(Daily_fuel_gas_composition[[#This Row],[HHV Calculated. 
(BTU/scf)]]/Daily_fuel_gas_composition[[#This Row],[LHV (BTU/scf)]]))/(0.997495*Daily_fuel_gas_composition[[#This Row],[Calculated Density
 (lb/scf)]]))</f>
        <v>5719.3224348313115</v>
      </c>
      <c r="AA54" s="63"/>
    </row>
    <row r="55" spans="1:27" s="33" customFormat="1" ht="16.2" customHeight="1" x14ac:dyDescent="0.25">
      <c r="A55" s="52">
        <v>46017</v>
      </c>
      <c r="B55" s="42">
        <v>0.13689999999999999</v>
      </c>
      <c r="C55" s="42">
        <v>23.0608</v>
      </c>
      <c r="D55" s="42">
        <v>42.076799999999999</v>
      </c>
      <c r="E55" s="42">
        <v>32.795999999999999</v>
      </c>
      <c r="F55" s="42">
        <v>1.1569</v>
      </c>
      <c r="G55" s="42">
        <v>0.4279</v>
      </c>
      <c r="H55" s="42">
        <v>0.1076</v>
      </c>
      <c r="I55" s="42">
        <v>0.1265</v>
      </c>
      <c r="J55" s="42">
        <v>5.1999999999999998E-3</v>
      </c>
      <c r="K55" s="42">
        <v>6.2799999999999995E-2</v>
      </c>
      <c r="L55" s="42">
        <v>4.24E-2</v>
      </c>
      <c r="M55" s="48">
        <f t="shared" si="9"/>
        <v>52</v>
      </c>
      <c r="N55" s="43" t="e">
        <f>AVERAGEIFS(#REF!,#REF!,'Fuel. Gas specifications'!A34)</f>
        <v>#REF!</v>
      </c>
      <c r="O55" s="43">
        <f t="shared" si="10"/>
        <v>55.8568</v>
      </c>
      <c r="P55" s="44">
        <f t="shared" si="11"/>
        <v>428.27057894115779</v>
      </c>
      <c r="Q55" s="44" cm="1">
        <f t="array" ref="Q55">SUMPRODUCT(B55:L55/100,$B$7:$L$7)</f>
        <v>28.512209636999998</v>
      </c>
      <c r="R55" s="44">
        <f t="shared" si="12"/>
        <v>0.98453762558701652</v>
      </c>
      <c r="S55" s="44">
        <f t="shared" si="13"/>
        <v>478.30998270235801</v>
      </c>
      <c r="T55" s="44">
        <f t="shared" si="14"/>
        <v>474.59767249534502</v>
      </c>
      <c r="U55" s="44">
        <f t="shared" si="15"/>
        <v>7.5170602786712351E-2</v>
      </c>
      <c r="V55" s="45">
        <f t="shared" si="16"/>
        <v>5697.3146823941888</v>
      </c>
      <c r="W55" s="46">
        <f t="shared" si="17"/>
        <v>3.8408986177517459</v>
      </c>
      <c r="X55" s="47">
        <v>475.63900000000001</v>
      </c>
      <c r="Y55" s="46">
        <v>43.58</v>
      </c>
      <c r="Z55" s="47">
        <f>IF(Daily_fuel_gas_composition[[#This Row],[UCH 1 GCV]]&lt;400,0,(Daily_fuel_gas_composition[[#This Row],[UCH 1 GCV]]/(Daily_fuel_gas_composition[[#This Row],[HHV Calculated. 
(BTU/scf)]]/Daily_fuel_gas_composition[[#This Row],[LHV (BTU/scf)]]))/(0.997495*Daily_fuel_gas_composition[[#This Row],[Calculated Density
 (lb/scf)]]))</f>
        <v>5724.1543201856575</v>
      </c>
      <c r="AA55" s="63"/>
    </row>
    <row r="56" spans="1:27" s="33" customFormat="1" ht="16.2" customHeight="1" x14ac:dyDescent="0.25">
      <c r="A56" s="52">
        <v>46018</v>
      </c>
      <c r="B56" s="42">
        <v>0.13569999999999999</v>
      </c>
      <c r="C56" s="42">
        <v>23.2041</v>
      </c>
      <c r="D56" s="42">
        <v>41.836399999999998</v>
      </c>
      <c r="E56" s="42">
        <v>32.9101</v>
      </c>
      <c r="F56" s="42">
        <v>1.1472</v>
      </c>
      <c r="G56" s="42">
        <v>0.4244</v>
      </c>
      <c r="H56" s="42">
        <v>0.10680000000000001</v>
      </c>
      <c r="I56" s="42">
        <v>0.12570000000000001</v>
      </c>
      <c r="J56" s="42">
        <v>5.0000000000000001E-3</v>
      </c>
      <c r="K56" s="42">
        <v>6.2300000000000001E-2</v>
      </c>
      <c r="L56" s="42">
        <v>4.2200000000000001E-2</v>
      </c>
      <c r="M56" s="48">
        <f t="shared" si="9"/>
        <v>50</v>
      </c>
      <c r="N56" s="43" t="e">
        <f>AVERAGEIFS(#REF!,#REF!,'Fuel. Gas specifications'!A35)</f>
        <v>#REF!</v>
      </c>
      <c r="O56" s="43">
        <f t="shared" si="10"/>
        <v>56.114199999999997</v>
      </c>
      <c r="P56" s="44">
        <f t="shared" si="11"/>
        <v>425.7178975178976</v>
      </c>
      <c r="Q56" s="44" cm="1">
        <f t="array" ref="Q56">SUMPRODUCT(B56:L56/100,$B$7:$L$7)</f>
        <v>28.557002816999994</v>
      </c>
      <c r="R56" s="44">
        <f t="shared" si="12"/>
        <v>0.98608435141574557</v>
      </c>
      <c r="S56" s="44">
        <f t="shared" si="13"/>
        <v>475.08811966860731</v>
      </c>
      <c r="T56" s="44">
        <f t="shared" si="14"/>
        <v>471.77095947095967</v>
      </c>
      <c r="U56" s="44">
        <f t="shared" si="15"/>
        <v>7.5288697118375936E-2</v>
      </c>
      <c r="V56" s="45">
        <f t="shared" si="16"/>
        <v>5654.4728998105002</v>
      </c>
      <c r="W56" s="46">
        <f t="shared" si="17"/>
        <v>3.8412022479216805</v>
      </c>
      <c r="X56" s="47">
        <v>476.9</v>
      </c>
      <c r="Y56" s="46">
        <v>49.75</v>
      </c>
      <c r="Z56" s="47">
        <f>IF(Daily_fuel_gas_composition[[#This Row],[UCH 1 GCV]]&lt;400,0,(Daily_fuel_gas_composition[[#This Row],[UCH 1 GCV]]/(Daily_fuel_gas_composition[[#This Row],[HHV Calculated. 
(BTU/scf)]]/Daily_fuel_gas_composition[[#This Row],[LHV (BTU/scf)]]))/(0.997495*Daily_fuel_gas_composition[[#This Row],[Calculated Density
 (lb/scf)]]))</f>
        <v>5730.3020965877013</v>
      </c>
      <c r="AA56" s="63"/>
    </row>
    <row r="57" spans="1:27" s="33" customFormat="1" ht="16.2" customHeight="1" x14ac:dyDescent="0.25">
      <c r="A57" s="52">
        <v>46019</v>
      </c>
      <c r="B57" s="42">
        <v>0.13639999999999999</v>
      </c>
      <c r="C57" s="42">
        <v>23.125699999999998</v>
      </c>
      <c r="D57" s="42">
        <v>41.797400000000003</v>
      </c>
      <c r="E57" s="42">
        <v>33.020099999999999</v>
      </c>
      <c r="F57" s="42">
        <v>1.1494</v>
      </c>
      <c r="G57" s="42">
        <v>0.42649999999999999</v>
      </c>
      <c r="H57" s="42">
        <v>0.10730000000000001</v>
      </c>
      <c r="I57" s="42">
        <v>0.12640000000000001</v>
      </c>
      <c r="J57" s="42">
        <v>5.7000000000000002E-3</v>
      </c>
      <c r="K57" s="42">
        <v>6.2600000000000003E-2</v>
      </c>
      <c r="L57" s="42">
        <v>4.2500000000000003E-2</v>
      </c>
      <c r="M57" s="48">
        <f t="shared" si="9"/>
        <v>57</v>
      </c>
      <c r="N57" s="43" t="e">
        <f>AVERAGEIFS(#REF!,#REF!,'Fuel. Gas specifications'!A36)</f>
        <v>#REF!</v>
      </c>
      <c r="O57" s="43">
        <f t="shared" si="10"/>
        <v>56.145799999999994</v>
      </c>
      <c r="P57" s="44">
        <f t="shared" si="11"/>
        <v>425.54025959999996</v>
      </c>
      <c r="Q57" s="44" cm="1">
        <f t="array" ref="Q57">SUMPRODUCT(B57:L57/100,$B$7:$L$7)</f>
        <v>28.580754606999996</v>
      </c>
      <c r="R57" s="44">
        <f t="shared" si="12"/>
        <v>0.98690450991022083</v>
      </c>
      <c r="S57" s="44">
        <f t="shared" si="13"/>
        <v>474.68760925184023</v>
      </c>
      <c r="T57" s="44">
        <f t="shared" si="14"/>
        <v>471.56923299999994</v>
      </c>
      <c r="U57" s="44">
        <f t="shared" si="15"/>
        <v>7.535131718165039E-2</v>
      </c>
      <c r="V57" s="45">
        <f t="shared" si="16"/>
        <v>5647.4163361224937</v>
      </c>
      <c r="W57" s="46">
        <f t="shared" si="17"/>
        <v>3.8405100053720136</v>
      </c>
      <c r="X57" s="47">
        <v>473.81799999999998</v>
      </c>
      <c r="Y57" s="46">
        <v>56.36</v>
      </c>
      <c r="Z57" s="47">
        <f>IF(Daily_fuel_gas_composition[[#This Row],[UCH 1 GCV]]&lt;400,0,(Daily_fuel_gas_composition[[#This Row],[UCH 1 GCV]]/(Daily_fuel_gas_composition[[#This Row],[HHV Calculated. 
(BTU/scf)]]/Daily_fuel_gas_composition[[#This Row],[LHV (BTU/scf)]]))/(0.997495*Daily_fuel_gas_composition[[#This Row],[Calculated Density
 (lb/scf)]]))</f>
        <v>5688.5970437080668</v>
      </c>
      <c r="AA57" s="63"/>
    </row>
    <row r="58" spans="1:27" s="33" customFormat="1" ht="16.2" customHeight="1" x14ac:dyDescent="0.25">
      <c r="A58" s="52">
        <v>46020</v>
      </c>
      <c r="B58" s="42">
        <v>0.13489999999999999</v>
      </c>
      <c r="C58" s="42">
        <v>23.1325</v>
      </c>
      <c r="D58" s="42">
        <v>42.008499999999998</v>
      </c>
      <c r="E58" s="42">
        <v>32.802999999999997</v>
      </c>
      <c r="F58" s="42">
        <v>1.1523000000000001</v>
      </c>
      <c r="G58" s="42">
        <v>0.42580000000000001</v>
      </c>
      <c r="H58" s="42">
        <v>0.1071</v>
      </c>
      <c r="I58" s="42">
        <v>0.126</v>
      </c>
      <c r="J58" s="42">
        <v>5.1000000000000004E-3</v>
      </c>
      <c r="K58" s="42">
        <v>6.25E-2</v>
      </c>
      <c r="L58" s="42">
        <v>4.2299999999999997E-2</v>
      </c>
      <c r="M58" s="48">
        <f t="shared" si="9"/>
        <v>51.000000000000007</v>
      </c>
      <c r="N58" s="43" t="e">
        <f>AVERAGEIFS(#REF!,#REF!,'Fuel. Gas specifications'!A37)</f>
        <v>#REF!</v>
      </c>
      <c r="O58" s="43">
        <f t="shared" si="10"/>
        <v>55.935499999999998</v>
      </c>
      <c r="P58" s="44">
        <f t="shared" si="11"/>
        <v>427.39200640000001</v>
      </c>
      <c r="Q58" s="44" cm="1">
        <f t="array" ref="Q58">SUMPRODUCT(B58:L58/100,$B$7:$L$7)</f>
        <v>28.519481581999997</v>
      </c>
      <c r="R58" s="44">
        <f t="shared" si="12"/>
        <v>0.98478872866022082</v>
      </c>
      <c r="S58" s="44">
        <f t="shared" si="13"/>
        <v>477.27218431725339</v>
      </c>
      <c r="T58" s="44">
        <f t="shared" si="14"/>
        <v>473.62831590000008</v>
      </c>
      <c r="U58" s="44">
        <f t="shared" si="15"/>
        <v>7.5189774800949113E-2</v>
      </c>
      <c r="V58" s="45">
        <f t="shared" si="16"/>
        <v>5684.1772372831347</v>
      </c>
      <c r="W58" s="46">
        <f t="shared" si="17"/>
        <v>3.8415339255228678</v>
      </c>
      <c r="X58" s="47">
        <v>475.84199999999998</v>
      </c>
      <c r="Y58" s="46">
        <v>50.32</v>
      </c>
      <c r="Z58" s="47">
        <f>IF(Daily_fuel_gas_composition[[#This Row],[UCH 1 GCV]]&lt;400,0,(Daily_fuel_gas_composition[[#This Row],[UCH 1 GCV]]/(Daily_fuel_gas_composition[[#This Row],[HHV Calculated. 
(BTU/scf)]]/Daily_fuel_gas_composition[[#This Row],[LHV (BTU/scf)]]))/(0.997495*Daily_fuel_gas_composition[[#This Row],[Calculated Density
 (lb/scf)]]))</f>
        <v>5725.0857656774679</v>
      </c>
      <c r="AA58" s="63"/>
    </row>
    <row r="59" spans="1:27" s="33" customFormat="1" ht="16.2" customHeight="1" x14ac:dyDescent="0.25">
      <c r="A59" s="52">
        <v>46021</v>
      </c>
      <c r="B59" s="42">
        <v>0.13830000000000001</v>
      </c>
      <c r="C59" s="42">
        <v>22.806100000000001</v>
      </c>
      <c r="D59" s="42">
        <v>42.172699999999999</v>
      </c>
      <c r="E59" s="42">
        <v>32.940100000000001</v>
      </c>
      <c r="F59" s="42">
        <v>1.1645000000000001</v>
      </c>
      <c r="G59" s="42">
        <v>0.43130000000000002</v>
      </c>
      <c r="H59" s="42">
        <v>0.1084</v>
      </c>
      <c r="I59" s="42">
        <v>0.12720000000000001</v>
      </c>
      <c r="J59" s="42">
        <v>5.3E-3</v>
      </c>
      <c r="K59" s="42">
        <v>6.3200000000000006E-2</v>
      </c>
      <c r="L59" s="42">
        <v>4.2799999999999998E-2</v>
      </c>
      <c r="M59" s="48">
        <f t="shared" si="9"/>
        <v>53</v>
      </c>
      <c r="N59" s="43" t="e">
        <f>AVERAGEIFS(#REF!,#REF!,'Fuel. Gas specifications'!A38)</f>
        <v>#REF!</v>
      </c>
      <c r="O59" s="43">
        <f t="shared" si="10"/>
        <v>55.746200000000002</v>
      </c>
      <c r="P59" s="44">
        <f t="shared" si="11"/>
        <v>429.48093668093668</v>
      </c>
      <c r="Q59" s="44" cm="1">
        <f t="array" ref="Q59">SUMPRODUCT(B59:L59/100,$B$7:$L$7)</f>
        <v>28.526138393999997</v>
      </c>
      <c r="R59" s="44">
        <f t="shared" si="12"/>
        <v>0.98501859095303856</v>
      </c>
      <c r="S59" s="44">
        <f t="shared" si="13"/>
        <v>479.53958111405956</v>
      </c>
      <c r="T59" s="44">
        <f t="shared" si="14"/>
        <v>475.93393643393642</v>
      </c>
      <c r="U59" s="44">
        <f t="shared" si="15"/>
        <v>7.5207325056683358E-2</v>
      </c>
      <c r="V59" s="45">
        <f t="shared" si="16"/>
        <v>5710.6264098242982</v>
      </c>
      <c r="W59" s="46">
        <f t="shared" si="17"/>
        <v>3.8401548511574353</v>
      </c>
      <c r="X59" s="47">
        <v>479.84899999999999</v>
      </c>
      <c r="Y59" s="46">
        <v>44.01</v>
      </c>
      <c r="Z59" s="47">
        <f>IF(Daily_fuel_gas_composition[[#This Row],[UCH 1 GCV]]&lt;400,0,(Daily_fuel_gas_composition[[#This Row],[UCH 1 GCV]]/(Daily_fuel_gas_composition[[#This Row],[HHV Calculated. 
(BTU/scf)]]/Daily_fuel_gas_composition[[#This Row],[LHV (BTU/scf)]]))/(0.997495*Daily_fuel_gas_composition[[#This Row],[Calculated Density
 (lb/scf)]]))</f>
        <v>5772.0614085215166</v>
      </c>
      <c r="AA59" s="63"/>
    </row>
    <row r="60" spans="1:27" s="33" customFormat="1" ht="16.2" customHeight="1" x14ac:dyDescent="0.25">
      <c r="A60" s="52">
        <v>46022</v>
      </c>
      <c r="B60" s="42">
        <v>0.13420000000000001</v>
      </c>
      <c r="C60" s="42">
        <v>22.9466</v>
      </c>
      <c r="D60" s="42">
        <v>42.423900000000003</v>
      </c>
      <c r="E60" s="42">
        <v>32.543900000000001</v>
      </c>
      <c r="F60" s="42">
        <v>1.1707000000000001</v>
      </c>
      <c r="G60" s="42">
        <v>0.43309999999999998</v>
      </c>
      <c r="H60" s="42">
        <v>0.1089</v>
      </c>
      <c r="I60" s="42">
        <v>0.1278</v>
      </c>
      <c r="J60" s="42">
        <v>4.7000000000000002E-3</v>
      </c>
      <c r="K60" s="42">
        <v>6.3399999999999998E-2</v>
      </c>
      <c r="L60" s="42">
        <v>4.2900000000000001E-2</v>
      </c>
      <c r="M60" s="48">
        <f t="shared" si="9"/>
        <v>47</v>
      </c>
      <c r="N60" s="43" t="e">
        <f>AVERAGEIFS(#REF!,#REF!,'Fuel. Gas specifications'!A39)</f>
        <v>#REF!</v>
      </c>
      <c r="O60" s="43">
        <f t="shared" si="10"/>
        <v>55.490499999999997</v>
      </c>
      <c r="P60" s="44">
        <f t="shared" si="11"/>
        <v>431.76661093338913</v>
      </c>
      <c r="Q60" s="44" cm="1">
        <f t="array" ref="Q60">SUMPRODUCT(B60:L60/100,$B$7:$L$7)</f>
        <v>28.431205207000001</v>
      </c>
      <c r="R60" s="44">
        <f t="shared" si="12"/>
        <v>0.98174051129143647</v>
      </c>
      <c r="S60" s="44">
        <f t="shared" si="13"/>
        <v>482.9032309685399</v>
      </c>
      <c r="T60" s="44">
        <f t="shared" si="14"/>
        <v>478.47413652586346</v>
      </c>
      <c r="U60" s="44">
        <f t="shared" si="15"/>
        <v>7.4957039828631694E-2</v>
      </c>
      <c r="V60" s="45">
        <f t="shared" si="16"/>
        <v>5760.187594394105</v>
      </c>
      <c r="W60" s="46">
        <f t="shared" si="17"/>
        <v>3.8412140290931824</v>
      </c>
      <c r="X60" s="47">
        <v>482.63499999999999</v>
      </c>
      <c r="Y60" s="46">
        <v>35.67</v>
      </c>
      <c r="Z60" s="47">
        <f>IF(Daily_fuel_gas_composition[[#This Row],[UCH 1 GCV]]&lt;400,0,(Daily_fuel_gas_composition[[#This Row],[UCH 1 GCV]]/(Daily_fuel_gas_composition[[#This Row],[HHV Calculated. 
(BTU/scf)]]/Daily_fuel_gas_composition[[#This Row],[LHV (BTU/scf)]]))/(0.997495*Daily_fuel_gas_composition[[#This Row],[Calculated Density
 (lb/scf)]]))</f>
        <v>5824.8701159755065</v>
      </c>
      <c r="AA60" s="63"/>
    </row>
    <row r="61" spans="1:27" s="33" customFormat="1" ht="16.2" customHeight="1" x14ac:dyDescent="0.25">
      <c r="A61" s="52">
        <v>46023</v>
      </c>
      <c r="B61" s="42">
        <v>0.13769999999999999</v>
      </c>
      <c r="C61" s="42">
        <v>22.6845</v>
      </c>
      <c r="D61" s="42">
        <v>42.427999999999997</v>
      </c>
      <c r="E61" s="42">
        <v>32.794800000000002</v>
      </c>
      <c r="F61" s="42">
        <v>1.1731</v>
      </c>
      <c r="G61" s="42">
        <v>0.43319999999999997</v>
      </c>
      <c r="H61" s="42">
        <v>0.109</v>
      </c>
      <c r="I61" s="42">
        <v>0.12770000000000001</v>
      </c>
      <c r="J61" s="42">
        <v>5.5999999999999999E-3</v>
      </c>
      <c r="K61" s="42">
        <v>6.3500000000000001E-2</v>
      </c>
      <c r="L61" s="42">
        <v>4.2900000000000001E-2</v>
      </c>
      <c r="M61" s="48">
        <f t="shared" si="9"/>
        <v>56</v>
      </c>
      <c r="N61" s="43" t="e">
        <f>AVERAGEIFS(#REF!,#REF!,'Fuel. Gas specifications'!A40)</f>
        <v>#REF!</v>
      </c>
      <c r="O61" s="43">
        <f t="shared" si="10"/>
        <v>55.479300000000002</v>
      </c>
      <c r="P61" s="44">
        <f t="shared" si="11"/>
        <v>432.00859459999998</v>
      </c>
      <c r="Q61" s="44" cm="1">
        <f t="array" ref="Q61">SUMPRODUCT(B61:L61/100,$B$7:$L$7)</f>
        <v>28.473022829000001</v>
      </c>
      <c r="R61" s="44">
        <f t="shared" si="12"/>
        <v>0.98318448995165753</v>
      </c>
      <c r="S61" s="44">
        <f t="shared" si="13"/>
        <v>482.81378254766179</v>
      </c>
      <c r="T61" s="44">
        <f t="shared" si="14"/>
        <v>478.73719239999997</v>
      </c>
      <c r="U61" s="44">
        <f t="shared" si="15"/>
        <v>7.5067289293435271E-2</v>
      </c>
      <c r="V61" s="45">
        <f t="shared" si="16"/>
        <v>5754.9513065710189</v>
      </c>
      <c r="W61" s="46">
        <f t="shared" si="17"/>
        <v>3.8405045185081059</v>
      </c>
      <c r="X61" s="47">
        <v>482.78899999999999</v>
      </c>
      <c r="Y61" s="46">
        <v>45.6</v>
      </c>
      <c r="Z61" s="47">
        <f>IF(Daily_fuel_gas_composition[[#This Row],[UCH 1 GCV]]&lt;400,0,(Daily_fuel_gas_composition[[#This Row],[UCH 1 GCV]]/(Daily_fuel_gas_composition[[#This Row],[HHV Calculated. 
(BTU/scf)]]/Daily_fuel_gas_composition[[#This Row],[LHV (BTU/scf)]]))/(0.997495*Daily_fuel_gas_composition[[#This Row],[Calculated Density
 (lb/scf)]]))</f>
        <v>5818.2331958998511</v>
      </c>
      <c r="AA61" s="63"/>
    </row>
    <row r="62" spans="1:27" s="33" customFormat="1" ht="16.2" customHeight="1" x14ac:dyDescent="0.25">
      <c r="A62" s="52">
        <v>46024</v>
      </c>
      <c r="B62" s="42">
        <v>0.13780000000000001</v>
      </c>
      <c r="C62" s="42">
        <v>22.721699999999998</v>
      </c>
      <c r="D62" s="42">
        <v>42.574599999999997</v>
      </c>
      <c r="E62" s="42">
        <v>32.6083</v>
      </c>
      <c r="F62" s="42">
        <v>1.1758999999999999</v>
      </c>
      <c r="G62" s="42">
        <v>0.43340000000000001</v>
      </c>
      <c r="H62" s="42">
        <v>0.1089</v>
      </c>
      <c r="I62" s="42">
        <v>0.12759999999999999</v>
      </c>
      <c r="J62" s="42">
        <v>5.4999999999999997E-3</v>
      </c>
      <c r="K62" s="42">
        <v>6.3600000000000004E-2</v>
      </c>
      <c r="L62" s="42">
        <v>4.2700000000000002E-2</v>
      </c>
      <c r="M62" s="48">
        <f t="shared" si="9"/>
        <v>55</v>
      </c>
      <c r="N62" s="43" t="e">
        <f>AVERAGEIFS(#REF!,#REF!,'Fuel. Gas specifications'!A41)</f>
        <v>#REF!</v>
      </c>
      <c r="O62" s="43">
        <f t="shared" si="10"/>
        <v>55.33</v>
      </c>
      <c r="P62" s="44">
        <f t="shared" si="11"/>
        <v>433.38581939999995</v>
      </c>
      <c r="Q62" s="44" cm="1">
        <f t="array" ref="Q62">SUMPRODUCT(B62:L62/100,$B$7:$L$7)</f>
        <v>28.425677908000001</v>
      </c>
      <c r="R62" s="44">
        <f t="shared" si="12"/>
        <v>0.98154965151933704</v>
      </c>
      <c r="S62" s="44">
        <f t="shared" si="13"/>
        <v>484.75882566461729</v>
      </c>
      <c r="T62" s="44">
        <f t="shared" si="14"/>
        <v>480.26602110000005</v>
      </c>
      <c r="U62" s="44">
        <f t="shared" si="15"/>
        <v>7.4942467461112577E-2</v>
      </c>
      <c r="V62" s="45">
        <f t="shared" si="16"/>
        <v>5782.9136680732126</v>
      </c>
      <c r="W62" s="46">
        <f t="shared" si="17"/>
        <v>3.8408890006161034</v>
      </c>
      <c r="X62" s="47">
        <v>484.04399999999998</v>
      </c>
      <c r="Y62" s="46">
        <v>44.06</v>
      </c>
      <c r="Z62" s="47">
        <f>IF(Daily_fuel_gas_composition[[#This Row],[UCH 1 GCV]]&lt;400,0,(Daily_fuel_gas_composition[[#This Row],[UCH 1 GCV]]/(Daily_fuel_gas_composition[[#This Row],[HHV Calculated. 
(BTU/scf)]]/Daily_fuel_gas_composition[[#This Row],[LHV (BTU/scf)]]))/(0.997495*Daily_fuel_gas_composition[[#This Row],[Calculated Density
 (lb/scf)]]))</f>
        <v>5843.0413706306435</v>
      </c>
      <c r="AA62" s="63"/>
    </row>
    <row r="63" spans="1:27" s="33" customFormat="1" ht="16.2" customHeight="1" x14ac:dyDescent="0.25">
      <c r="A63" s="52">
        <v>46025</v>
      </c>
      <c r="B63" s="42">
        <v>0.1376</v>
      </c>
      <c r="C63" s="42">
        <v>22.799199999999999</v>
      </c>
      <c r="D63" s="42">
        <v>42.564799999999998</v>
      </c>
      <c r="E63" s="42">
        <v>32.541400000000003</v>
      </c>
      <c r="F63" s="42">
        <v>1.1755</v>
      </c>
      <c r="G63" s="42">
        <v>0.43319999999999997</v>
      </c>
      <c r="H63" s="42">
        <v>0.1089</v>
      </c>
      <c r="I63" s="42">
        <v>0.12770000000000001</v>
      </c>
      <c r="J63" s="42">
        <v>5.4000000000000003E-3</v>
      </c>
      <c r="K63" s="42">
        <v>6.3600000000000004E-2</v>
      </c>
      <c r="L63" s="42">
        <v>4.2700000000000002E-2</v>
      </c>
      <c r="M63" s="48">
        <f t="shared" si="9"/>
        <v>54</v>
      </c>
      <c r="N63" s="43" t="e">
        <f>AVERAGEIFS(#REF!,#REF!,'Fuel. Gas specifications'!A42)</f>
        <v>#REF!</v>
      </c>
      <c r="O63" s="43">
        <f t="shared" si="10"/>
        <v>55.340600000000002</v>
      </c>
      <c r="P63" s="44">
        <f t="shared" si="11"/>
        <v>433.27921000000009</v>
      </c>
      <c r="Q63" s="44" cm="1">
        <f t="array" ref="Q63">SUMPRODUCT(B63:L63/100,$B$7:$L$7)</f>
        <v>28.416016293999999</v>
      </c>
      <c r="R63" s="44">
        <f t="shared" si="12"/>
        <v>0.9812160322513811</v>
      </c>
      <c r="S63" s="44">
        <f t="shared" si="13"/>
        <v>484.72212799963717</v>
      </c>
      <c r="T63" s="44">
        <f t="shared" si="14"/>
        <v>480.14804390000006</v>
      </c>
      <c r="U63" s="44">
        <f t="shared" si="15"/>
        <v>7.4916995238597406E-2</v>
      </c>
      <c r="V63" s="45">
        <f t="shared" si="16"/>
        <v>5783.4568594226484</v>
      </c>
      <c r="W63" s="46">
        <f t="shared" si="17"/>
        <v>3.8409073577513095</v>
      </c>
      <c r="X63" s="47">
        <v>483.71800000000002</v>
      </c>
      <c r="Y63" s="46">
        <v>44.9</v>
      </c>
      <c r="Z63" s="47">
        <f>IF(Daily_fuel_gas_composition[[#This Row],[UCH 1 GCV]]&lt;400,0,(Daily_fuel_gas_composition[[#This Row],[UCH 1 GCV]]/(Daily_fuel_gas_composition[[#This Row],[HHV Calculated. 
(BTU/scf)]]/Daily_fuel_gas_composition[[#This Row],[LHV (BTU/scf)]]))/(0.997495*Daily_fuel_gas_composition[[#This Row],[Calculated Density
 (lb/scf)]]))</f>
        <v>5841.0894574879176</v>
      </c>
      <c r="AA63" s="63"/>
    </row>
    <row r="64" spans="1:27" s="33" customFormat="1" ht="16.2" customHeight="1" x14ac:dyDescent="0.25">
      <c r="A64" s="52">
        <v>46026</v>
      </c>
      <c r="B64" s="42">
        <v>0.13869999999999999</v>
      </c>
      <c r="C64" s="42">
        <v>22.936900000000001</v>
      </c>
      <c r="D64" s="42">
        <v>42.320099999999996</v>
      </c>
      <c r="E64" s="42">
        <v>32.662599999999998</v>
      </c>
      <c r="F64" s="42">
        <v>1.1658999999999999</v>
      </c>
      <c r="G64" s="42">
        <v>0.4299</v>
      </c>
      <c r="H64" s="42">
        <v>0.1081</v>
      </c>
      <c r="I64" s="42">
        <v>0.12690000000000001</v>
      </c>
      <c r="J64" s="42">
        <v>5.1000000000000004E-3</v>
      </c>
      <c r="K64" s="42">
        <v>6.3299999999999995E-2</v>
      </c>
      <c r="L64" s="42">
        <v>4.2500000000000003E-2</v>
      </c>
      <c r="M64" s="48">
        <f t="shared" si="9"/>
        <v>51.000000000000007</v>
      </c>
      <c r="N64" s="43" t="e">
        <f>AVERAGEIFS(#REF!,#REF!,'Fuel. Gas specifications'!A43)</f>
        <v>#REF!</v>
      </c>
      <c r="O64" s="43">
        <f t="shared" si="10"/>
        <v>55.599499999999999</v>
      </c>
      <c r="P64" s="44">
        <f t="shared" si="11"/>
        <v>430.80220230000009</v>
      </c>
      <c r="Q64" s="44" cm="1">
        <f t="array" ref="Q64">SUMPRODUCT(B64:L64/100,$B$7:$L$7)</f>
        <v>28.463886162000001</v>
      </c>
      <c r="R64" s="44">
        <f t="shared" si="12"/>
        <v>0.98286899730662991</v>
      </c>
      <c r="S64" s="44">
        <f t="shared" si="13"/>
        <v>481.54441773780729</v>
      </c>
      <c r="T64" s="44">
        <f t="shared" si="14"/>
        <v>477.40193049999999</v>
      </c>
      <c r="U64" s="44">
        <f t="shared" si="15"/>
        <v>7.5043201059847089E-2</v>
      </c>
      <c r="V64" s="45">
        <f t="shared" si="16"/>
        <v>5740.7226266432126</v>
      </c>
      <c r="W64" s="46">
        <f t="shared" si="17"/>
        <v>3.8407099090434209</v>
      </c>
      <c r="X64" s="47">
        <v>476.92700000000002</v>
      </c>
      <c r="Y64" s="46">
        <v>42.63</v>
      </c>
      <c r="Z64" s="47">
        <f>IF(Daily_fuel_gas_composition[[#This Row],[UCH 1 GCV]]&lt;400,0,(Daily_fuel_gas_composition[[#This Row],[UCH 1 GCV]]/(Daily_fuel_gas_composition[[#This Row],[HHV Calculated. 
(BTU/scf)]]/Daily_fuel_gas_composition[[#This Row],[LHV (BTU/scf)]]))/(0.997495*Daily_fuel_gas_composition[[#This Row],[Calculated Density
 (lb/scf)]]))</f>
        <v>5749.4139046151622</v>
      </c>
      <c r="AA64" s="63"/>
    </row>
    <row r="65" spans="1:27" s="33" customFormat="1" ht="16.2" customHeight="1" x14ac:dyDescent="0.25">
      <c r="A65" s="52">
        <v>46027</v>
      </c>
      <c r="B65" s="42">
        <v>0.1414</v>
      </c>
      <c r="C65" s="42">
        <v>23.7989</v>
      </c>
      <c r="D65" s="42">
        <v>42.079099999999997</v>
      </c>
      <c r="E65" s="42">
        <v>32.0578</v>
      </c>
      <c r="F65" s="42">
        <v>1.1517999999999999</v>
      </c>
      <c r="G65" s="42">
        <v>0.4279</v>
      </c>
      <c r="H65" s="42">
        <v>0.1076</v>
      </c>
      <c r="I65" s="42">
        <v>0.12709999999999999</v>
      </c>
      <c r="J65" s="42">
        <v>2.7000000000000001E-3</v>
      </c>
      <c r="K65" s="42">
        <v>6.2799999999999995E-2</v>
      </c>
      <c r="L65" s="42">
        <v>4.2799999999999998E-2</v>
      </c>
      <c r="M65" s="48">
        <f t="shared" si="9"/>
        <v>27</v>
      </c>
      <c r="N65" s="43" t="e">
        <f>AVERAGEIFS(#REF!,#REF!,'Fuel. Gas specifications'!A44)</f>
        <v>#REF!</v>
      </c>
      <c r="O65" s="43">
        <f t="shared" si="10"/>
        <v>55.856700000000004</v>
      </c>
      <c r="P65" s="44">
        <f t="shared" si="11"/>
        <v>428.42490672490675</v>
      </c>
      <c r="Q65" s="44" cm="1">
        <f t="array" ref="Q65">SUMPRODUCT(B65:L65/100,$B$7:$L$7)</f>
        <v>28.396590491999994</v>
      </c>
      <c r="R65" s="44">
        <f t="shared" si="12"/>
        <v>0.98054525179557983</v>
      </c>
      <c r="S65" s="44">
        <f t="shared" si="13"/>
        <v>479.45057760409441</v>
      </c>
      <c r="T65" s="44">
        <f t="shared" si="14"/>
        <v>474.76387586387591</v>
      </c>
      <c r="U65" s="44">
        <f t="shared" si="15"/>
        <v>7.4865780363828086E-2</v>
      </c>
      <c r="V65" s="45">
        <f t="shared" si="16"/>
        <v>5722.5731788658841</v>
      </c>
      <c r="W65" s="46">
        <f t="shared" si="17"/>
        <v>3.8400053353785628</v>
      </c>
      <c r="X65" s="47">
        <v>474.83</v>
      </c>
      <c r="Y65" s="46">
        <v>21.2</v>
      </c>
      <c r="Z65" s="47">
        <f>IF(Daily_fuel_gas_composition[[#This Row],[UCH 1 GCV]]&lt;400,0,(Daily_fuel_gas_composition[[#This Row],[UCH 1 GCV]]/(Daily_fuel_gas_composition[[#This Row],[HHV Calculated. 
(BTU/scf)]]/Daily_fuel_gas_composition[[#This Row],[LHV (BTU/scf)]]))/(0.997495*Daily_fuel_gas_composition[[#This Row],[Calculated Density
 (lb/scf)]]))</f>
        <v>5737.7432539390211</v>
      </c>
      <c r="AA65" s="63"/>
    </row>
    <row r="66" spans="1:27" s="33" customFormat="1" ht="16.2" customHeight="1" x14ac:dyDescent="0.25">
      <c r="A66" s="52">
        <v>46028</v>
      </c>
      <c r="B66" s="42">
        <v>0.13789999999999999</v>
      </c>
      <c r="C66" s="42">
        <v>22.987300000000001</v>
      </c>
      <c r="D66" s="42">
        <v>42.221899999999998</v>
      </c>
      <c r="E66" s="42">
        <v>32.706400000000002</v>
      </c>
      <c r="F66" s="42">
        <v>1.1664000000000001</v>
      </c>
      <c r="G66" s="42">
        <v>0.43330000000000002</v>
      </c>
      <c r="H66" s="42">
        <v>0.1089</v>
      </c>
      <c r="I66" s="42">
        <v>0.12790000000000001</v>
      </c>
      <c r="J66" s="42">
        <v>4.0000000000000001E-3</v>
      </c>
      <c r="K66" s="42">
        <v>6.3200000000000006E-2</v>
      </c>
      <c r="L66" s="42">
        <v>4.2999999999999997E-2</v>
      </c>
      <c r="M66" s="48">
        <f t="shared" si="9"/>
        <v>40</v>
      </c>
      <c r="N66" s="43" t="e">
        <f>AVERAGEIFS(#REF!,#REF!,'Fuel. Gas specifications'!A45)</f>
        <v>#REF!</v>
      </c>
      <c r="O66" s="43">
        <f t="shared" si="10"/>
        <v>55.693700000000007</v>
      </c>
      <c r="P66" s="44">
        <f t="shared" si="11"/>
        <v>430.02237305525369</v>
      </c>
      <c r="Q66" s="44" cm="1">
        <f t="array" ref="Q66">SUMPRODUCT(B66:L66/100,$B$7:$L$7)</f>
        <v>28.483447034000001</v>
      </c>
      <c r="R66" s="44">
        <f t="shared" si="12"/>
        <v>0.98354444178176792</v>
      </c>
      <c r="S66" s="44">
        <f t="shared" si="13"/>
        <v>480.50305166533093</v>
      </c>
      <c r="T66" s="44">
        <f t="shared" si="14"/>
        <v>476.53317933364127</v>
      </c>
      <c r="U66" s="44">
        <f t="shared" si="15"/>
        <v>7.5094772037964677E-2</v>
      </c>
      <c r="V66" s="45">
        <f t="shared" si="16"/>
        <v>5726.3956116392883</v>
      </c>
      <c r="W66" s="46">
        <f t="shared" si="17"/>
        <v>3.839963289188999</v>
      </c>
      <c r="X66" s="47">
        <v>476.37</v>
      </c>
      <c r="Y66" s="46">
        <v>30.09</v>
      </c>
      <c r="Z66" s="47">
        <f>IF(Daily_fuel_gas_composition[[#This Row],[UCH 1 GCV]]&lt;400,0,(Daily_fuel_gas_composition[[#This Row],[UCH 1 GCV]]/(Daily_fuel_gas_composition[[#This Row],[HHV Calculated. 
(BTU/scf)]]/Daily_fuel_gas_composition[[#This Row],[LHV (BTU/scf)]]))/(0.997495*Daily_fuel_gas_composition[[#This Row],[Calculated Density
 (lb/scf)]]))</f>
        <v>5738.8104412194516</v>
      </c>
      <c r="AA66" s="63"/>
    </row>
    <row r="67" spans="1:27" s="33" customFormat="1" ht="16.2" customHeight="1" x14ac:dyDescent="0.25">
      <c r="A67" s="52">
        <v>46029</v>
      </c>
      <c r="B67" s="42">
        <v>0.1386</v>
      </c>
      <c r="C67" s="42">
        <v>23.225000000000001</v>
      </c>
      <c r="D67" s="42">
        <v>42.238700000000001</v>
      </c>
      <c r="E67" s="42">
        <v>32.464199999999998</v>
      </c>
      <c r="F67" s="42">
        <v>1.1608000000000001</v>
      </c>
      <c r="G67" s="42">
        <v>0.4294</v>
      </c>
      <c r="H67" s="42">
        <v>0.108</v>
      </c>
      <c r="I67" s="42">
        <v>0.127</v>
      </c>
      <c r="J67" s="42">
        <v>2.8999999999999998E-3</v>
      </c>
      <c r="K67" s="42">
        <v>6.3E-2</v>
      </c>
      <c r="L67" s="42">
        <v>4.24E-2</v>
      </c>
      <c r="M67" s="48">
        <f t="shared" si="9"/>
        <v>28.999999999999996</v>
      </c>
      <c r="N67" s="43" t="e">
        <f>AVERAGEIFS(#REF!,#REF!,'Fuel. Gas specifications'!A46)</f>
        <v>#REF!</v>
      </c>
      <c r="O67" s="43">
        <f t="shared" si="10"/>
        <v>55.6892</v>
      </c>
      <c r="P67" s="44">
        <f t="shared" si="11"/>
        <v>429.93571560000004</v>
      </c>
      <c r="Q67" s="44" cm="1">
        <f t="array" ref="Q67">SUMPRODUCT(B67:L67/100,$B$7:$L$7)</f>
        <v>28.441338181000006</v>
      </c>
      <c r="R67" s="44">
        <f t="shared" si="12"/>
        <v>0.98209040680248638</v>
      </c>
      <c r="S67" s="44">
        <f t="shared" si="13"/>
        <v>480.76680658959799</v>
      </c>
      <c r="T67" s="44">
        <f t="shared" si="14"/>
        <v>476.44218710000001</v>
      </c>
      <c r="U67" s="44">
        <f t="shared" si="15"/>
        <v>7.4983754761402593E-2</v>
      </c>
      <c r="V67" s="45">
        <f t="shared" si="16"/>
        <v>5733.7181495918721</v>
      </c>
      <c r="W67" s="46">
        <f t="shared" si="17"/>
        <v>3.8406425309104804</v>
      </c>
      <c r="X67" s="47">
        <v>475.89</v>
      </c>
      <c r="Y67" s="46">
        <v>22.88</v>
      </c>
      <c r="Z67" s="47">
        <f>IF(Daily_fuel_gas_composition[[#This Row],[UCH 1 GCV]]&lt;400,0,(Daily_fuel_gas_composition[[#This Row],[UCH 1 GCV]]/(Daily_fuel_gas_composition[[#This Row],[HHV Calculated. 
(BTU/scf)]]/Daily_fuel_gas_composition[[#This Row],[LHV (BTU/scf)]]))/(0.997495*Daily_fuel_gas_composition[[#This Row],[Calculated Density
 (lb/scf)]]))</f>
        <v>5741.4552286661137</v>
      </c>
      <c r="AA67" s="63"/>
    </row>
    <row r="68" spans="1:27" s="33" customFormat="1" ht="16.2" customHeight="1" x14ac:dyDescent="0.25">
      <c r="A68" s="52">
        <v>46030</v>
      </c>
      <c r="B68" s="42">
        <v>0.13320000000000001</v>
      </c>
      <c r="C68" s="42">
        <v>23.089500000000001</v>
      </c>
      <c r="D68" s="42">
        <v>42.404699999999998</v>
      </c>
      <c r="E68" s="42">
        <v>32.423099999999998</v>
      </c>
      <c r="F68" s="42">
        <v>1.1701999999999999</v>
      </c>
      <c r="G68" s="42">
        <v>0.43359999999999999</v>
      </c>
      <c r="H68" s="42">
        <v>0.1089</v>
      </c>
      <c r="I68" s="42">
        <v>0.12790000000000001</v>
      </c>
      <c r="J68" s="42">
        <v>2.8999999999999998E-3</v>
      </c>
      <c r="K68" s="42">
        <v>6.3299999999999995E-2</v>
      </c>
      <c r="L68" s="42">
        <v>4.2700000000000002E-2</v>
      </c>
      <c r="M68" s="48">
        <f t="shared" si="9"/>
        <v>28.999999999999996</v>
      </c>
      <c r="N68" s="43" t="e">
        <f>AVERAGEIFS(#REF!,#REF!,'Fuel. Gas specifications'!A47)</f>
        <v>#REF!</v>
      </c>
      <c r="O68" s="43">
        <f t="shared" si="10"/>
        <v>55.512599999999999</v>
      </c>
      <c r="P68" s="44">
        <f t="shared" si="11"/>
        <v>431.53321649999998</v>
      </c>
      <c r="Q68" s="44" cm="1">
        <f t="array" ref="Q68">SUMPRODUCT(B68:L68/100,$B$7:$L$7)</f>
        <v>28.413428046000003</v>
      </c>
      <c r="R68" s="44">
        <f t="shared" si="12"/>
        <v>0.98112665904696139</v>
      </c>
      <c r="S68" s="44">
        <f t="shared" si="13"/>
        <v>482.79431705718139</v>
      </c>
      <c r="T68" s="44">
        <f t="shared" si="14"/>
        <v>478.21664430000004</v>
      </c>
      <c r="U68" s="44">
        <f t="shared" si="15"/>
        <v>7.4910171489586092E-2</v>
      </c>
      <c r="V68" s="45">
        <f t="shared" si="16"/>
        <v>5760.6758590853196</v>
      </c>
      <c r="W68" s="46">
        <f t="shared" si="17"/>
        <v>3.8412782504144052</v>
      </c>
      <c r="X68" s="47">
        <v>478.42</v>
      </c>
      <c r="Y68" s="46">
        <v>22.22</v>
      </c>
      <c r="Z68" s="47">
        <f>IF(Daily_fuel_gas_composition[[#This Row],[UCH 1 GCV]]&lt;400,0,(Daily_fuel_gas_composition[[#This Row],[UCH 1 GCV]]/(Daily_fuel_gas_composition[[#This Row],[HHV Calculated. 
(BTU/scf)]]/Daily_fuel_gas_composition[[#This Row],[LHV (BTU/scf)]]))/(0.997495*Daily_fuel_gas_composition[[#This Row],[Calculated Density
 (lb/scf)]]))</f>
        <v>5777.5983990745581</v>
      </c>
      <c r="AA68" s="63"/>
    </row>
    <row r="69" spans="1:27" s="33" customFormat="1" ht="16.2" customHeight="1" x14ac:dyDescent="0.25">
      <c r="A69" s="52">
        <v>46031</v>
      </c>
      <c r="B69" s="42">
        <v>0.12039999999999999</v>
      </c>
      <c r="C69" s="42">
        <v>23.075500000000002</v>
      </c>
      <c r="D69" s="42">
        <v>42.543399999999998</v>
      </c>
      <c r="E69" s="42">
        <v>32.304900000000004</v>
      </c>
      <c r="F69" s="42">
        <v>1.1756</v>
      </c>
      <c r="G69" s="42">
        <v>0.43469999999999998</v>
      </c>
      <c r="H69" s="42">
        <v>0.10920000000000001</v>
      </c>
      <c r="I69" s="42">
        <v>0.12809999999999999</v>
      </c>
      <c r="J69" s="42">
        <v>2.5999999999999999E-3</v>
      </c>
      <c r="K69" s="42">
        <v>6.3100000000000003E-2</v>
      </c>
      <c r="L69" s="42">
        <v>4.2700000000000002E-2</v>
      </c>
      <c r="M69" s="48">
        <f t="shared" si="9"/>
        <v>26</v>
      </c>
      <c r="N69" s="43" t="e">
        <f>AVERAGEIFS(#REF!,#REF!,'Fuel. Gas specifications'!A48)</f>
        <v>#REF!</v>
      </c>
      <c r="O69" s="43">
        <f t="shared" si="10"/>
        <v>55.380400000000009</v>
      </c>
      <c r="P69" s="44">
        <f t="shared" si="11"/>
        <v>432.34874130251728</v>
      </c>
      <c r="Q69" s="44" cm="1">
        <f t="array" ref="Q69">SUMPRODUCT(B69:L69/100,$B$7:$L$7)</f>
        <v>28.370860313000005</v>
      </c>
      <c r="R69" s="44">
        <f t="shared" si="12"/>
        <v>0.9796567787638123</v>
      </c>
      <c r="S69" s="44">
        <f t="shared" si="13"/>
        <v>484.08664458893139</v>
      </c>
      <c r="T69" s="44">
        <f t="shared" si="14"/>
        <v>479.13740352519278</v>
      </c>
      <c r="U69" s="44">
        <f t="shared" si="15"/>
        <v>7.4797944405483791E-2</v>
      </c>
      <c r="V69" s="45">
        <f t="shared" si="16"/>
        <v>5780.2222338989804</v>
      </c>
      <c r="W69" s="46">
        <f t="shared" si="17"/>
        <v>3.8438200552487323</v>
      </c>
      <c r="X69" s="47">
        <v>479.74</v>
      </c>
      <c r="Y69" s="46">
        <v>20.75</v>
      </c>
      <c r="Z69" s="47">
        <f>IF(Daily_fuel_gas_composition[[#This Row],[UCH 1 GCV]]&lt;400,0,(Daily_fuel_gas_composition[[#This Row],[UCH 1 GCV]]/(Daily_fuel_gas_composition[[#This Row],[HHV Calculated. 
(BTU/scf)]]/Daily_fuel_gas_composition[[#This Row],[LHV (BTU/scf)]]))/(0.997495*Daily_fuel_gas_composition[[#This Row],[Calculated Density
 (lb/scf)]]))</f>
        <v>5802.0259177412063</v>
      </c>
      <c r="AA69" s="63"/>
    </row>
    <row r="70" spans="1:27" s="33" customFormat="1" ht="16.2" customHeight="1" x14ac:dyDescent="0.25">
      <c r="A70" s="52">
        <v>46032</v>
      </c>
      <c r="B70" s="42">
        <v>0.1154</v>
      </c>
      <c r="C70" s="42">
        <v>22.846900000000002</v>
      </c>
      <c r="D70" s="42">
        <v>42.470999999999997</v>
      </c>
      <c r="E70" s="42">
        <v>32.608699999999999</v>
      </c>
      <c r="F70" s="42">
        <v>1.1772</v>
      </c>
      <c r="G70" s="42">
        <v>0.43559999999999999</v>
      </c>
      <c r="H70" s="42">
        <v>0.10929999999999999</v>
      </c>
      <c r="I70" s="42">
        <v>0.128</v>
      </c>
      <c r="J70" s="42">
        <v>2.7000000000000001E-3</v>
      </c>
      <c r="K70" s="42">
        <v>6.2899999999999998E-2</v>
      </c>
      <c r="L70" s="42">
        <v>4.24E-2</v>
      </c>
      <c r="M70" s="48">
        <f t="shared" si="9"/>
        <v>27</v>
      </c>
      <c r="N70" s="43" t="e">
        <f>AVERAGEIFS(#REF!,#REF!,'Fuel. Gas specifications'!A49)</f>
        <v>#REF!</v>
      </c>
      <c r="O70" s="43">
        <f t="shared" si="10"/>
        <v>55.455600000000004</v>
      </c>
      <c r="P70" s="44">
        <f t="shared" si="11"/>
        <v>431.49936990063009</v>
      </c>
      <c r="Q70" s="44" cm="1">
        <f t="array" ref="Q70">SUMPRODUCT(B70:L70/100,$B$7:$L$7)</f>
        <v>28.425152315999998</v>
      </c>
      <c r="R70" s="44">
        <f t="shared" si="12"/>
        <v>0.98153150262430933</v>
      </c>
      <c r="S70" s="44">
        <f t="shared" si="13"/>
        <v>482.67834878223334</v>
      </c>
      <c r="T70" s="44">
        <f t="shared" si="14"/>
        <v>478.20040529959465</v>
      </c>
      <c r="U70" s="44">
        <f t="shared" si="15"/>
        <v>7.4941081771684681E-2</v>
      </c>
      <c r="V70" s="45">
        <f t="shared" si="16"/>
        <v>5757.8481615095316</v>
      </c>
      <c r="W70" s="46">
        <f t="shared" si="17"/>
        <v>3.8444812972176159</v>
      </c>
      <c r="X70" s="47">
        <v>479.34</v>
      </c>
      <c r="Y70" s="46">
        <v>21.78</v>
      </c>
      <c r="Z70" s="47">
        <f>IF(Daily_fuel_gas_composition[[#This Row],[UCH 1 GCV]]&lt;400,0,(Daily_fuel_gas_composition[[#This Row],[UCH 1 GCV]]/(Daily_fuel_gas_composition[[#This Row],[HHV Calculated. 
(BTU/scf)]]/Daily_fuel_gas_composition[[#This Row],[LHV (BTU/scf)]]))/(0.997495*Daily_fuel_gas_composition[[#This Row],[Calculated Density
 (lb/scf)]]))</f>
        <v>5786.0637226724421</v>
      </c>
      <c r="AA70" s="63"/>
    </row>
    <row r="71" spans="1:27" s="33" customFormat="1" ht="16.2" customHeight="1" x14ac:dyDescent="0.25">
      <c r="A71" s="52">
        <v>46033</v>
      </c>
      <c r="B71" s="42">
        <v>0.1258</v>
      </c>
      <c r="C71" s="42">
        <v>23.224299999999999</v>
      </c>
      <c r="D71" s="42">
        <v>42.025599999999997</v>
      </c>
      <c r="E71" s="42">
        <v>32.695399999999999</v>
      </c>
      <c r="F71" s="42">
        <v>1.1573</v>
      </c>
      <c r="G71" s="42">
        <v>0.42880000000000001</v>
      </c>
      <c r="H71" s="42">
        <v>0.1079</v>
      </c>
      <c r="I71" s="42">
        <v>0.127</v>
      </c>
      <c r="J71" s="42">
        <v>2.5000000000000001E-3</v>
      </c>
      <c r="K71" s="42">
        <v>6.2700000000000006E-2</v>
      </c>
      <c r="L71" s="42">
        <v>4.2700000000000002E-2</v>
      </c>
      <c r="M71" s="48">
        <f t="shared" si="9"/>
        <v>25</v>
      </c>
      <c r="N71" s="43" t="e">
        <f>AVERAGEIFS(#REF!,#REF!,'Fuel. Gas specifications'!A50)</f>
        <v>#REF!</v>
      </c>
      <c r="O71" s="43">
        <f t="shared" si="10"/>
        <v>55.919699999999999</v>
      </c>
      <c r="P71" s="44">
        <f t="shared" si="11"/>
        <v>427.35822999999988</v>
      </c>
      <c r="Q71" s="44" cm="1">
        <f t="array" ref="Q71">SUMPRODUCT(B71:L71/100,$B$7:$L$7)</f>
        <v>28.496163445999994</v>
      </c>
      <c r="R71" s="44">
        <f t="shared" si="12"/>
        <v>0.98398354440607705</v>
      </c>
      <c r="S71" s="44">
        <f t="shared" si="13"/>
        <v>477.43717190568697</v>
      </c>
      <c r="T71" s="44">
        <f t="shared" si="14"/>
        <v>473.59831300000013</v>
      </c>
      <c r="U71" s="44">
        <f t="shared" si="15"/>
        <v>7.5128298038491942E-2</v>
      </c>
      <c r="V71" s="45">
        <f t="shared" si="16"/>
        <v>5688.3789618266492</v>
      </c>
      <c r="W71" s="46">
        <f t="shared" si="17"/>
        <v>3.8425137936799878</v>
      </c>
      <c r="X71" s="47">
        <v>473.17</v>
      </c>
      <c r="Y71" s="46">
        <v>19.54</v>
      </c>
      <c r="Z71" s="47">
        <f>IF(Daily_fuel_gas_composition[[#This Row],[UCH 1 GCV]]&lt;400,0,(Daily_fuel_gas_composition[[#This Row],[UCH 1 GCV]]/(Daily_fuel_gas_composition[[#This Row],[HHV Calculated. 
(BTU/scf)]]/Daily_fuel_gas_composition[[#This Row],[LHV (BTU/scf)]]))/(0.997495*Daily_fuel_gas_composition[[#This Row],[Calculated Density
 (lb/scf)]]))</f>
        <v>5697.5067581964331</v>
      </c>
      <c r="AA71" s="63"/>
    </row>
    <row r="72" spans="1:27" s="33" customFormat="1" ht="16.2" customHeight="1" x14ac:dyDescent="0.25">
      <c r="A72" s="52">
        <v>46034</v>
      </c>
      <c r="B72" s="42">
        <v>0.19650000000000001</v>
      </c>
      <c r="C72" s="42">
        <v>23.919499999999999</v>
      </c>
      <c r="D72" s="42">
        <v>40.206000000000003</v>
      </c>
      <c r="E72" s="42">
        <v>33.596499999999999</v>
      </c>
      <c r="F72" s="42">
        <v>1.1958</v>
      </c>
      <c r="G72" s="42">
        <v>0.47570000000000001</v>
      </c>
      <c r="H72" s="42">
        <v>0.15989999999999999</v>
      </c>
      <c r="I72" s="42">
        <v>0.13220000000000001</v>
      </c>
      <c r="J72" s="42">
        <v>5.0000000000000001E-3</v>
      </c>
      <c r="K72" s="42">
        <v>6.8599999999999994E-2</v>
      </c>
      <c r="L72" s="42">
        <v>4.4299999999999999E-2</v>
      </c>
      <c r="M72" s="48">
        <f t="shared" si="9"/>
        <v>50</v>
      </c>
      <c r="N72" s="43" t="e">
        <f>AVERAGEIFS(#REF!,#REF!,'Fuel. Gas specifications'!A51)</f>
        <v>#REF!</v>
      </c>
      <c r="O72" s="43">
        <f t="shared" si="10"/>
        <v>57.515999999999998</v>
      </c>
      <c r="P72" s="44">
        <f t="shared" si="11"/>
        <v>417.64215279999996</v>
      </c>
      <c r="Q72" s="44" cm="1">
        <f t="array" ref="Q72">SUMPRODUCT(B72:L72/100,$B$7:$L$7)</f>
        <v>28.928260692000002</v>
      </c>
      <c r="R72" s="44">
        <f t="shared" si="12"/>
        <v>0.99890402941988954</v>
      </c>
      <c r="S72" s="44">
        <f t="shared" si="13"/>
        <v>462.87458980227615</v>
      </c>
      <c r="T72" s="44">
        <f t="shared" si="14"/>
        <v>462.62087180000003</v>
      </c>
      <c r="U72" s="44">
        <f t="shared" si="15"/>
        <v>7.6267494574215666E-2</v>
      </c>
      <c r="V72" s="45">
        <f t="shared" si="16"/>
        <v>5476.0177337881951</v>
      </c>
      <c r="W72" s="46">
        <f t="shared" si="17"/>
        <v>3.8102717282461853</v>
      </c>
      <c r="X72" s="47">
        <v>474.38</v>
      </c>
      <c r="Y72" s="46">
        <v>23.6</v>
      </c>
      <c r="Z72" s="47">
        <f>IF(Daily_fuel_gas_composition[[#This Row],[UCH 1 GCV]]&lt;400,0,(Daily_fuel_gas_composition[[#This Row],[UCH 1 GCV]]/(Daily_fuel_gas_composition[[#This Row],[HHV Calculated. 
(BTU/scf)]]/Daily_fuel_gas_composition[[#This Row],[LHV (BTU/scf)]]))/(0.997495*Daily_fuel_gas_composition[[#This Row],[Calculated Density
 (lb/scf)]]))</f>
        <v>5629.3113102986972</v>
      </c>
      <c r="AA72" s="63"/>
    </row>
    <row r="73" spans="1:27" s="33" customFormat="1" ht="16.2" customHeight="1" x14ac:dyDescent="0.25">
      <c r="A73" s="52">
        <v>46035</v>
      </c>
      <c r="B73" s="42">
        <v>0.1419</v>
      </c>
      <c r="C73" s="42">
        <v>22.854600000000001</v>
      </c>
      <c r="D73" s="42">
        <v>42.356099999999998</v>
      </c>
      <c r="E73" s="42">
        <v>32.700000000000003</v>
      </c>
      <c r="F73" s="42">
        <v>1.1695</v>
      </c>
      <c r="G73" s="42">
        <v>0.43049999999999999</v>
      </c>
      <c r="H73" s="42">
        <v>0.10929999999999999</v>
      </c>
      <c r="I73" s="42">
        <v>0.1283</v>
      </c>
      <c r="J73" s="42">
        <v>4.1999999999999997E-3</v>
      </c>
      <c r="K73" s="42">
        <v>6.3899999999999998E-2</v>
      </c>
      <c r="L73" s="42">
        <v>4.1799999999999997E-2</v>
      </c>
      <c r="M73" s="48">
        <f t="shared" si="9"/>
        <v>42</v>
      </c>
      <c r="N73" s="43" t="e">
        <f>AVERAGEIFS(#REF!,#REF!,'Fuel. Gas specifications'!A52)</f>
        <v>#REF!</v>
      </c>
      <c r="O73" s="43">
        <f t="shared" si="10"/>
        <v>55.554600000000008</v>
      </c>
      <c r="P73" s="44">
        <f t="shared" si="11"/>
        <v>431.41135958864038</v>
      </c>
      <c r="Q73" s="44" cm="1">
        <f t="array" ref="Q73">SUMPRODUCT(B73:L73/100,$B$7:$L$7)</f>
        <v>28.468303777000003</v>
      </c>
      <c r="R73" s="44">
        <f t="shared" si="12"/>
        <v>0.98302153926104974</v>
      </c>
      <c r="S73" s="44">
        <f t="shared" si="13"/>
        <v>482.1818240014162</v>
      </c>
      <c r="T73" s="44">
        <f t="shared" si="14"/>
        <v>478.0709476290524</v>
      </c>
      <c r="U73" s="44">
        <f t="shared" si="15"/>
        <v>7.5054847817031381E-2</v>
      </c>
      <c r="V73" s="45">
        <f t="shared" si="16"/>
        <v>5747.9479625398017</v>
      </c>
      <c r="W73" s="46">
        <f t="shared" si="17"/>
        <v>3.8397496528129893</v>
      </c>
      <c r="X73" s="47">
        <v>476.79</v>
      </c>
      <c r="Y73" s="46">
        <v>29.81</v>
      </c>
      <c r="Z73" s="47">
        <f>IF(Daily_fuel_gas_composition[[#This Row],[UCH 1 GCV]]&lt;400,0,(Daily_fuel_gas_composition[[#This Row],[UCH 1 GCV]]/(Daily_fuel_gas_composition[[#This Row],[HHV Calculated. 
(BTU/scf)]]/Daily_fuel_gas_composition[[#This Row],[LHV (BTU/scf)]]))/(0.997495*Daily_fuel_gas_composition[[#This Row],[Calculated Density
 (lb/scf)]]))</f>
        <v>5746.9429507764153</v>
      </c>
      <c r="AA73" s="63"/>
    </row>
    <row r="74" spans="1:27" s="33" customFormat="1" ht="16.2" customHeight="1" x14ac:dyDescent="0.25">
      <c r="A74" s="52">
        <v>46036</v>
      </c>
      <c r="B74" s="42">
        <v>0.72119999999999995</v>
      </c>
      <c r="C74" s="42">
        <v>22.6785</v>
      </c>
      <c r="D74" s="42">
        <v>41.822499999999998</v>
      </c>
      <c r="E74" s="42">
        <v>32.963099999999997</v>
      </c>
      <c r="F74" s="42">
        <v>1.0851999999999999</v>
      </c>
      <c r="G74" s="42">
        <v>0.39589999999999997</v>
      </c>
      <c r="H74" s="42">
        <v>0.1069</v>
      </c>
      <c r="I74" s="42">
        <v>0.12089999999999999</v>
      </c>
      <c r="J74" s="42">
        <v>3.5000000000000001E-3</v>
      </c>
      <c r="K74" s="42">
        <v>6.0999999999999999E-2</v>
      </c>
      <c r="L74" s="42">
        <v>4.1300000000000003E-2</v>
      </c>
      <c r="M74" s="48">
        <f t="shared" ref="M74:M105" si="18">J74*10000</f>
        <v>35</v>
      </c>
      <c r="N74" s="43" t="e">
        <f>AVERAGEIFS(#REF!,#REF!,'Fuel. Gas specifications'!A53)</f>
        <v>#REF!</v>
      </c>
      <c r="O74" s="43">
        <f t="shared" ref="O74:O105" si="19">SUM(C74,E74)</f>
        <v>55.641599999999997</v>
      </c>
      <c r="P74" s="44">
        <f t="shared" ref="P74:P105" si="20">SUMPRODUCT($B$6:$L$6,B74:L74)/SUM(B74:L74)</f>
        <v>449.48020459999992</v>
      </c>
      <c r="Q74" s="44" cm="1">
        <f t="array" ref="Q74">SUMPRODUCT(B74:L74/100,$B$7:$L$7)</f>
        <v>28.899386820999993</v>
      </c>
      <c r="R74" s="44">
        <f t="shared" ref="R74:R105" si="21">Q74/28.96</f>
        <v>0.99790700348756878</v>
      </c>
      <c r="S74" s="44">
        <f t="shared" ref="S74:S105" si="22">T74/SQRT(R74)</f>
        <v>497.93202283659002</v>
      </c>
      <c r="T74" s="44">
        <f t="shared" ref="T74:T105" si="23">SUMPRODUCT($B$5:$L$5,B74:L74)/SUM(B74:L74)</f>
        <v>497.41066489999992</v>
      </c>
      <c r="U74" s="44">
        <f t="shared" ref="U74:U105" si="24">Q74/379.3</f>
        <v>7.6191370474558373E-2</v>
      </c>
      <c r="V74" s="45">
        <f t="shared" ref="V74:V105" si="25">P74/U74</f>
        <v>5899.358441781661</v>
      </c>
      <c r="W74" s="46">
        <f t="shared" ref="W74:W105" si="26">SUMPRODUCT($B$4:$L$4, B74:L74) / (SUMPRODUCT($B$3:$L$3, B74:L74) - E74)</f>
        <v>3.7419188894670179</v>
      </c>
      <c r="X74" s="47">
        <v>477.63</v>
      </c>
      <c r="Y74" s="46">
        <v>30.63</v>
      </c>
      <c r="Z74" s="47">
        <f>IF(Daily_fuel_gas_composition[[#This Row],[UCH 1 GCV]]&lt;400,0,(Daily_fuel_gas_composition[[#This Row],[UCH 1 GCV]]/(Daily_fuel_gas_composition[[#This Row],[HHV Calculated. 
(BTU/scf)]]/Daily_fuel_gas_composition[[#This Row],[LHV (BTU/scf)]]))/(0.997495*Daily_fuel_gas_composition[[#This Row],[Calculated Density
 (lb/scf)]]))</f>
        <v>5678.9829058193545</v>
      </c>
      <c r="AA74" s="63"/>
    </row>
    <row r="75" spans="1:27" s="33" customFormat="1" ht="16.2" customHeight="1" x14ac:dyDescent="0.25">
      <c r="A75" s="52">
        <v>46037</v>
      </c>
      <c r="B75" s="42">
        <v>0.52710000000000001</v>
      </c>
      <c r="C75" s="42">
        <v>21.490100000000002</v>
      </c>
      <c r="D75" s="42">
        <v>42.521000000000001</v>
      </c>
      <c r="E75" s="42">
        <v>33.716500000000003</v>
      </c>
      <c r="F75" s="42">
        <v>1.0624</v>
      </c>
      <c r="G75" s="42">
        <v>0.39369999999999999</v>
      </c>
      <c r="H75" s="42">
        <v>0.1075</v>
      </c>
      <c r="I75" s="42">
        <v>8.0500000000000002E-2</v>
      </c>
      <c r="J75" s="42">
        <v>4.0000000000000001E-3</v>
      </c>
      <c r="K75" s="42">
        <v>4.1399999999999999E-2</v>
      </c>
      <c r="L75" s="42">
        <v>5.5599999999999997E-2</v>
      </c>
      <c r="M75" s="48">
        <f t="shared" si="18"/>
        <v>40</v>
      </c>
      <c r="N75" s="43" t="e">
        <f>AVERAGEIFS(#REF!,#REF!,'Fuel. Gas specifications'!A54)</f>
        <v>#REF!</v>
      </c>
      <c r="O75" s="43">
        <f t="shared" si="19"/>
        <v>55.206600000000009</v>
      </c>
      <c r="P75" s="44">
        <f t="shared" si="20"/>
        <v>445.47514325028641</v>
      </c>
      <c r="Q75" s="44" cm="1">
        <f t="array" ref="Q75">SUMPRODUCT(B75:L75/100,$B$7:$L$7)</f>
        <v>28.808229869000005</v>
      </c>
      <c r="R75" s="44">
        <f t="shared" si="21"/>
        <v>0.99475931868093936</v>
      </c>
      <c r="S75" s="44">
        <f t="shared" si="22"/>
        <v>494.56793938228674</v>
      </c>
      <c r="T75" s="44">
        <f t="shared" si="23"/>
        <v>493.27030054060106</v>
      </c>
      <c r="U75" s="44">
        <f t="shared" si="24"/>
        <v>7.5951041046664919E-2</v>
      </c>
      <c r="V75" s="45">
        <f t="shared" si="25"/>
        <v>5865.2934457683468</v>
      </c>
      <c r="W75" s="46">
        <f t="shared" si="26"/>
        <v>3.7836480742237661</v>
      </c>
      <c r="X75" s="47">
        <v>475.21</v>
      </c>
      <c r="Y75" s="46">
        <v>39.520000000000003</v>
      </c>
      <c r="Z75" s="47">
        <f>IF(Daily_fuel_gas_composition[[#This Row],[UCH 1 GCV]]&lt;400,0,(Daily_fuel_gas_composition[[#This Row],[UCH 1 GCV]]/(Daily_fuel_gas_composition[[#This Row],[HHV Calculated. 
(BTU/scf)]]/Daily_fuel_gas_composition[[#This Row],[LHV (BTU/scf)]]))/(0.997495*Daily_fuel_gas_composition[[#This Row],[Calculated Density
 (lb/scf)]]))</f>
        <v>5664.7352997720245</v>
      </c>
      <c r="AA75" s="63"/>
    </row>
    <row r="76" spans="1:27" s="33" customFormat="1" ht="16.2" customHeight="1" x14ac:dyDescent="0.25">
      <c r="A76" s="52">
        <v>46040</v>
      </c>
      <c r="B76" s="42">
        <v>0.2031</v>
      </c>
      <c r="C76" s="42">
        <v>22.5947</v>
      </c>
      <c r="D76" s="42">
        <v>42.747599999999998</v>
      </c>
      <c r="E76" s="42">
        <v>32.677700000000002</v>
      </c>
      <c r="F76" s="42">
        <v>1.1287</v>
      </c>
      <c r="G76" s="42">
        <v>0.43680000000000002</v>
      </c>
      <c r="H76" s="42">
        <v>6.0900000000000003E-2</v>
      </c>
      <c r="I76" s="42">
        <v>6.54E-2</v>
      </c>
      <c r="J76" s="42">
        <v>2.5999999999999999E-3</v>
      </c>
      <c r="K76" s="42">
        <v>3.7900000000000003E-2</v>
      </c>
      <c r="L76" s="42">
        <v>4.4499999999999998E-2</v>
      </c>
      <c r="M76" s="48">
        <f t="shared" si="18"/>
        <v>26</v>
      </c>
      <c r="N76" s="43" t="e">
        <f>AVERAGEIFS(#REF!,#REF!,'Fuel. Gas specifications'!A57)</f>
        <v>#REF!</v>
      </c>
      <c r="O76" s="43">
        <f t="shared" si="19"/>
        <v>55.272400000000005</v>
      </c>
      <c r="P76" s="44">
        <f t="shared" si="20"/>
        <v>432.93603033603034</v>
      </c>
      <c r="Q76" s="44" cm="1">
        <f t="array" ref="Q76">SUMPRODUCT(B76:L76/100,$B$7:$L$7)</f>
        <v>28.409694851000001</v>
      </c>
      <c r="R76" s="44">
        <f t="shared" si="21"/>
        <v>0.98099775037983428</v>
      </c>
      <c r="S76" s="44">
        <f t="shared" si="22"/>
        <v>484.42979344887692</v>
      </c>
      <c r="T76" s="44">
        <f t="shared" si="23"/>
        <v>479.80509020509032</v>
      </c>
      <c r="U76" s="44">
        <f t="shared" si="24"/>
        <v>7.4900329161613502E-2</v>
      </c>
      <c r="V76" s="45">
        <f t="shared" si="25"/>
        <v>5780.1619189400108</v>
      </c>
      <c r="W76" s="46">
        <f t="shared" si="26"/>
        <v>3.8462907007463181</v>
      </c>
      <c r="X76" s="47">
        <v>469.83</v>
      </c>
      <c r="Y76" s="46">
        <v>34.979999999999997</v>
      </c>
      <c r="Z76" s="47">
        <f>IF(Daily_fuel_gas_composition[[#This Row],[UCH 1 GCV]]&lt;400,0,(Daily_fuel_gas_composition[[#This Row],[UCH 1 GCV]]/(Daily_fuel_gas_composition[[#This Row],[HHV Calculated. 
(BTU/scf)]]/Daily_fuel_gas_composition[[#This Row],[LHV (BTU/scf)]]))/(0.997495*Daily_fuel_gas_composition[[#This Row],[Calculated Density
 (lb/scf)]]))</f>
        <v>5674.2069351632617</v>
      </c>
      <c r="AA76" s="63"/>
    </row>
    <row r="77" spans="1:27" s="33" customFormat="1" ht="16.2" customHeight="1" x14ac:dyDescent="0.25">
      <c r="A77" s="52">
        <v>46041</v>
      </c>
      <c r="B77" s="42">
        <v>0.15440000000000001</v>
      </c>
      <c r="C77" s="42">
        <v>22.717600000000001</v>
      </c>
      <c r="D77" s="42">
        <v>42.960500000000003</v>
      </c>
      <c r="E77" s="42">
        <v>32.255800000000001</v>
      </c>
      <c r="F77" s="42">
        <v>1.1346000000000001</v>
      </c>
      <c r="G77" s="42">
        <v>0.42249999999999999</v>
      </c>
      <c r="H77" s="42">
        <v>0.1089</v>
      </c>
      <c r="I77" s="42">
        <v>0.128</v>
      </c>
      <c r="J77" s="42">
        <v>4.0000000000000001E-3</v>
      </c>
      <c r="K77" s="42">
        <v>6.3200000000000006E-2</v>
      </c>
      <c r="L77" s="42">
        <v>5.0500000000000003E-2</v>
      </c>
      <c r="M77" s="48">
        <f t="shared" si="18"/>
        <v>40</v>
      </c>
      <c r="N77" s="43" t="e">
        <f>AVERAGEIFS(#REF!,#REF!,'Fuel. Gas specifications'!A58)</f>
        <v>#REF!</v>
      </c>
      <c r="O77" s="43">
        <f t="shared" si="19"/>
        <v>54.973399999999998</v>
      </c>
      <c r="P77" s="44">
        <f t="shared" si="20"/>
        <v>436.98296099999999</v>
      </c>
      <c r="Q77" s="44" cm="1">
        <f t="array" ref="Q77">SUMPRODUCT(B77:L77/100,$B$7:$L$7)</f>
        <v>28.333444352999997</v>
      </c>
      <c r="R77" s="44">
        <f t="shared" si="21"/>
        <v>0.97836479119475128</v>
      </c>
      <c r="S77" s="44">
        <f t="shared" si="22"/>
        <v>489.57314186320303</v>
      </c>
      <c r="T77" s="44">
        <f t="shared" si="23"/>
        <v>484.24817409999997</v>
      </c>
      <c r="U77" s="44">
        <f t="shared" si="24"/>
        <v>7.4699299638808322E-2</v>
      </c>
      <c r="V77" s="45">
        <f t="shared" si="25"/>
        <v>5849.8936819077671</v>
      </c>
      <c r="W77" s="46">
        <f t="shared" si="26"/>
        <v>3.8400848390979108</v>
      </c>
      <c r="X77" s="47">
        <v>481.58</v>
      </c>
      <c r="Y77" s="46">
        <v>44</v>
      </c>
      <c r="Z77" s="47">
        <f>IF(Daily_fuel_gas_composition[[#This Row],[UCH 1 GCV]]&lt;400,0,(Daily_fuel_gas_composition[[#This Row],[UCH 1 GCV]]/(Daily_fuel_gas_composition[[#This Row],[HHV Calculated. 
(BTU/scf)]]/Daily_fuel_gas_composition[[#This Row],[LHV (BTU/scf)]]))/(0.997495*Daily_fuel_gas_composition[[#This Row],[Calculated Density
 (lb/scf)]]))</f>
        <v>5832.2710093496107</v>
      </c>
      <c r="AA77" s="63"/>
    </row>
    <row r="78" spans="1:27" s="33" customFormat="1" ht="16.2" customHeight="1" x14ac:dyDescent="0.25">
      <c r="A78" s="52">
        <v>46042</v>
      </c>
      <c r="B78" s="42">
        <v>0.1419</v>
      </c>
      <c r="C78" s="42">
        <v>22.553899999999999</v>
      </c>
      <c r="D78" s="42">
        <v>42.506999999999998</v>
      </c>
      <c r="E78" s="42">
        <v>32.958599999999997</v>
      </c>
      <c r="F78" s="42">
        <v>1.0911999999999999</v>
      </c>
      <c r="G78" s="42">
        <v>0.4027</v>
      </c>
      <c r="H78" s="42">
        <v>0.1074</v>
      </c>
      <c r="I78" s="42">
        <v>0.12280000000000001</v>
      </c>
      <c r="J78" s="42">
        <v>4.7999999999999996E-3</v>
      </c>
      <c r="K78" s="42">
        <v>6.1400000000000003E-2</v>
      </c>
      <c r="L78" s="42">
        <v>4.8399999999999999E-2</v>
      </c>
      <c r="M78" s="48">
        <f t="shared" si="18"/>
        <v>47.999999999999993</v>
      </c>
      <c r="N78" s="43" t="e">
        <f>AVERAGEIFS(#REF!,#REF!,'Fuel. Gas specifications'!A59)</f>
        <v>#REF!</v>
      </c>
      <c r="O78" s="43">
        <f t="shared" si="19"/>
        <v>55.512499999999996</v>
      </c>
      <c r="P78" s="44">
        <f t="shared" si="20"/>
        <v>430.80576009423993</v>
      </c>
      <c r="Q78" s="44" cm="1">
        <f t="array" ref="Q78">SUMPRODUCT(B78:L78/100,$B$7:$L$7)</f>
        <v>28.485145184999997</v>
      </c>
      <c r="R78" s="44">
        <f t="shared" si="21"/>
        <v>0.98360307959254134</v>
      </c>
      <c r="S78" s="44">
        <f t="shared" si="22"/>
        <v>481.40019350279692</v>
      </c>
      <c r="T78" s="44">
        <f t="shared" si="23"/>
        <v>477.4371405628595</v>
      </c>
      <c r="U78" s="44">
        <f t="shared" si="24"/>
        <v>7.5099249103611904E-2</v>
      </c>
      <c r="V78" s="45">
        <f t="shared" si="25"/>
        <v>5736.4855872243379</v>
      </c>
      <c r="W78" s="46">
        <f t="shared" si="26"/>
        <v>3.8452426133429563</v>
      </c>
      <c r="X78" s="47">
        <v>477.55</v>
      </c>
      <c r="Y78" s="46">
        <v>52.32</v>
      </c>
      <c r="Z78" s="47">
        <f>IF(Daily_fuel_gas_composition[[#This Row],[UCH 1 GCV]]&lt;400,0,(Daily_fuel_gas_composition[[#This Row],[UCH 1 GCV]]/(Daily_fuel_gas_composition[[#This Row],[HHV Calculated. 
(BTU/scf)]]/Daily_fuel_gas_composition[[#This Row],[LHV (BTU/scf)]]))/(0.997495*Daily_fuel_gas_composition[[#This Row],[Calculated Density
 (lb/scf)]]))</f>
        <v>5752.2510006374478</v>
      </c>
      <c r="AA78" s="63"/>
    </row>
    <row r="79" spans="1:27" s="33" customFormat="1" ht="16.2" customHeight="1" x14ac:dyDescent="0.25">
      <c r="A79" s="52">
        <v>46043</v>
      </c>
      <c r="B79" s="42">
        <v>0.15290000000000001</v>
      </c>
      <c r="C79" s="42">
        <v>22.444700000000001</v>
      </c>
      <c r="D79" s="42">
        <v>42.381</v>
      </c>
      <c r="E79" s="42">
        <v>33.159700000000001</v>
      </c>
      <c r="F79" s="42">
        <v>1.1275999999999999</v>
      </c>
      <c r="G79" s="42">
        <v>0.39360000000000001</v>
      </c>
      <c r="H79" s="42">
        <v>0.106</v>
      </c>
      <c r="I79" s="42">
        <v>0.12239999999999999</v>
      </c>
      <c r="J79" s="42">
        <v>5.4000000000000003E-3</v>
      </c>
      <c r="K79" s="42">
        <v>6.25E-2</v>
      </c>
      <c r="L79" s="42">
        <v>4.4200000000000003E-2</v>
      </c>
      <c r="M79" s="48">
        <f t="shared" si="18"/>
        <v>54</v>
      </c>
      <c r="N79" s="43" t="e">
        <f>AVERAGEIFS(#REF!,#REF!,'Fuel. Gas specifications'!A60)</f>
        <v>#REF!</v>
      </c>
      <c r="O79" s="43">
        <f t="shared" si="19"/>
        <v>55.604399999999998</v>
      </c>
      <c r="P79" s="44">
        <f t="shared" si="20"/>
        <v>430.35778700000003</v>
      </c>
      <c r="Q79" s="44" cm="1">
        <f t="array" ref="Q79">SUMPRODUCT(B79:L79/100,$B$7:$L$7)</f>
        <v>28.536178658000004</v>
      </c>
      <c r="R79" s="44">
        <f t="shared" si="21"/>
        <v>0.98536528515193378</v>
      </c>
      <c r="S79" s="44">
        <f t="shared" si="22"/>
        <v>480.45282182847103</v>
      </c>
      <c r="T79" s="44">
        <f t="shared" si="23"/>
        <v>476.92421919999992</v>
      </c>
      <c r="U79" s="44">
        <f t="shared" si="24"/>
        <v>7.5233795565515432E-2</v>
      </c>
      <c r="V79" s="45">
        <f t="shared" si="25"/>
        <v>5720.272169775536</v>
      </c>
      <c r="W79" s="46">
        <f t="shared" si="26"/>
        <v>3.8428483961686521</v>
      </c>
      <c r="X79" s="47">
        <v>477.75</v>
      </c>
      <c r="Y79" s="46">
        <v>55.2</v>
      </c>
      <c r="Z79" s="47">
        <f>IF(Daily_fuel_gas_composition[[#This Row],[UCH 1 GCV]]&lt;400,0,(Daily_fuel_gas_composition[[#This Row],[UCH 1 GCV]]/(Daily_fuel_gas_composition[[#This Row],[HHV Calculated. 
(BTU/scf)]]/Daily_fuel_gas_composition[[#This Row],[LHV (BTU/scf)]]))/(0.997495*Daily_fuel_gas_composition[[#This Row],[Calculated Density
 (lb/scf)]]))</f>
        <v>5744.5667991224618</v>
      </c>
      <c r="AA79" s="63"/>
    </row>
    <row r="80" spans="1:27" s="33" customFormat="1" ht="16.2" customHeight="1" x14ac:dyDescent="0.25">
      <c r="A80" s="52">
        <v>46044</v>
      </c>
      <c r="B80" s="42">
        <v>0.1406</v>
      </c>
      <c r="C80" s="42">
        <v>22.700399999999998</v>
      </c>
      <c r="D80" s="42">
        <v>42.078600000000002</v>
      </c>
      <c r="E80" s="42">
        <v>33.246099999999998</v>
      </c>
      <c r="F80" s="42">
        <v>1.113</v>
      </c>
      <c r="G80" s="42">
        <v>0.38700000000000001</v>
      </c>
      <c r="H80" s="42">
        <v>0.1041</v>
      </c>
      <c r="I80" s="42">
        <v>0.1208</v>
      </c>
      <c r="J80" s="42">
        <v>4.7000000000000002E-3</v>
      </c>
      <c r="K80" s="42">
        <v>6.1100000000000002E-2</v>
      </c>
      <c r="L80" s="42">
        <v>4.3499999999999997E-2</v>
      </c>
      <c r="M80" s="48">
        <f t="shared" si="18"/>
        <v>47</v>
      </c>
      <c r="N80" s="43" t="e">
        <f>AVERAGEIFS(#REF!,#REF!,'Fuel. Gas specifications'!A61)</f>
        <v>#REF!</v>
      </c>
      <c r="O80" s="43">
        <f t="shared" si="19"/>
        <v>55.9465</v>
      </c>
      <c r="P80" s="44">
        <f t="shared" si="20"/>
        <v>426.49038459038468</v>
      </c>
      <c r="Q80" s="44" cm="1">
        <f t="array" ref="Q80">SUMPRODUCT(B80:L80/100,$B$7:$L$7)</f>
        <v>28.575630098999998</v>
      </c>
      <c r="R80" s="44">
        <f t="shared" si="21"/>
        <v>0.98672755866712691</v>
      </c>
      <c r="S80" s="44">
        <f t="shared" si="22"/>
        <v>475.8267736095504</v>
      </c>
      <c r="T80" s="44">
        <f t="shared" si="23"/>
        <v>472.65853445853446</v>
      </c>
      <c r="U80" s="44">
        <f t="shared" si="24"/>
        <v>7.5337806746638536E-2</v>
      </c>
      <c r="V80" s="45">
        <f t="shared" si="25"/>
        <v>5661.0406249902417</v>
      </c>
      <c r="W80" s="46">
        <f t="shared" si="26"/>
        <v>3.8458721439375854</v>
      </c>
      <c r="X80" s="47">
        <v>474.17</v>
      </c>
      <c r="Y80" s="46">
        <v>49.32</v>
      </c>
      <c r="Z80" s="47">
        <f>IF(Daily_fuel_gas_composition[[#This Row],[UCH 1 GCV]]&lt;400,0,(Daily_fuel_gas_composition[[#This Row],[UCH 1 GCV]]/(Daily_fuel_gas_composition[[#This Row],[HHV Calculated. 
(BTU/scf)]]/Daily_fuel_gas_composition[[#This Row],[LHV (BTU/scf)]]))/(0.997495*Daily_fuel_gas_composition[[#This Row],[Calculated Density
 (lb/scf)]]))</f>
        <v>5693.4054583778843</v>
      </c>
      <c r="AA80" s="63"/>
    </row>
    <row r="81" spans="1:27" s="33" customFormat="1" ht="16.2" customHeight="1" x14ac:dyDescent="0.25">
      <c r="A81" s="52">
        <v>46045</v>
      </c>
      <c r="B81" s="42">
        <v>0.14050000000000001</v>
      </c>
      <c r="C81" s="42">
        <v>23.732700000000001</v>
      </c>
      <c r="D81" s="42">
        <v>42.073999999999998</v>
      </c>
      <c r="E81" s="42">
        <v>32.2378</v>
      </c>
      <c r="F81" s="42">
        <v>1.0998000000000001</v>
      </c>
      <c r="G81" s="42">
        <v>0.38319999999999999</v>
      </c>
      <c r="H81" s="42">
        <v>0.1033</v>
      </c>
      <c r="I81" s="42">
        <v>0.12089999999999999</v>
      </c>
      <c r="J81" s="42">
        <v>2.5000000000000001E-3</v>
      </c>
      <c r="K81" s="42">
        <v>6.1199999999999997E-2</v>
      </c>
      <c r="L81" s="42">
        <v>4.4200000000000003E-2</v>
      </c>
      <c r="M81" s="48">
        <f t="shared" si="18"/>
        <v>25</v>
      </c>
      <c r="N81" s="43" t="e">
        <f>AVERAGEIFS(#REF!,#REF!,'Fuel. Gas specifications'!A62)</f>
        <v>#REF!</v>
      </c>
      <c r="O81" s="43">
        <f t="shared" si="19"/>
        <v>55.970500000000001</v>
      </c>
      <c r="P81" s="44">
        <f t="shared" si="20"/>
        <v>426.13740646259345</v>
      </c>
      <c r="Q81" s="44" cm="1">
        <f t="array" ref="Q81">SUMPRODUCT(B81:L81/100,$B$7:$L$7)</f>
        <v>28.414006965999995</v>
      </c>
      <c r="R81" s="44">
        <f t="shared" si="21"/>
        <v>0.98114664937845286</v>
      </c>
      <c r="S81" s="44">
        <f t="shared" si="22"/>
        <v>476.78838433424397</v>
      </c>
      <c r="T81" s="44">
        <f t="shared" si="23"/>
        <v>472.27246872753125</v>
      </c>
      <c r="U81" s="44">
        <f t="shared" si="24"/>
        <v>7.4911697774848393E-2</v>
      </c>
      <c r="V81" s="45">
        <f t="shared" si="25"/>
        <v>5688.5295503964553</v>
      </c>
      <c r="W81" s="46">
        <f t="shared" si="26"/>
        <v>3.8464919270287261</v>
      </c>
      <c r="X81" s="47">
        <v>471.21</v>
      </c>
      <c r="Y81" s="46">
        <v>24.74</v>
      </c>
      <c r="Z81" s="47">
        <f>IF(Daily_fuel_gas_composition[[#This Row],[UCH 1 GCV]]&lt;400,0,(Daily_fuel_gas_composition[[#This Row],[UCH 1 GCV]]/(Daily_fuel_gas_composition[[#This Row],[HHV Calculated. 
(BTU/scf)]]/Daily_fuel_gas_composition[[#This Row],[LHV (BTU/scf)]]))/(0.997495*Daily_fuel_gas_composition[[#This Row],[Calculated Density
 (lb/scf)]]))</f>
        <v>5689.9855110355375</v>
      </c>
      <c r="AA81" s="63"/>
    </row>
    <row r="82" spans="1:27" s="33" customFormat="1" ht="16.2" customHeight="1" x14ac:dyDescent="0.25">
      <c r="A82" s="52">
        <v>46046</v>
      </c>
      <c r="B82" s="42">
        <v>0.14280000000000001</v>
      </c>
      <c r="C82" s="42">
        <v>24.438199999999998</v>
      </c>
      <c r="D82" s="42">
        <v>41.421900000000001</v>
      </c>
      <c r="E82" s="42">
        <v>32.220500000000001</v>
      </c>
      <c r="F82" s="42">
        <v>1.073</v>
      </c>
      <c r="G82" s="42">
        <v>0.37619999999999998</v>
      </c>
      <c r="H82" s="42">
        <v>0.10150000000000001</v>
      </c>
      <c r="I82" s="42">
        <v>0.1195</v>
      </c>
      <c r="J82" s="42">
        <v>2.3E-3</v>
      </c>
      <c r="K82" s="42">
        <v>6.0299999999999999E-2</v>
      </c>
      <c r="L82" s="42">
        <v>4.3900000000000002E-2</v>
      </c>
      <c r="M82" s="48">
        <f t="shared" si="18"/>
        <v>23</v>
      </c>
      <c r="N82" s="43" t="e">
        <f>AVERAGEIFS(#REF!,#REF!,'Fuel. Gas specifications'!A63)</f>
        <v>#REF!</v>
      </c>
      <c r="O82" s="43">
        <f t="shared" si="19"/>
        <v>56.658699999999996</v>
      </c>
      <c r="P82" s="44">
        <f t="shared" si="20"/>
        <v>419.57090472909539</v>
      </c>
      <c r="Q82" s="44" cm="1">
        <f t="array" ref="Q82">SUMPRODUCT(B82:L82/100,$B$7:$L$7)</f>
        <v>28.487451173</v>
      </c>
      <c r="R82" s="44">
        <f t="shared" si="21"/>
        <v>0.98368270624999998</v>
      </c>
      <c r="S82" s="44">
        <f t="shared" si="22"/>
        <v>468.83252773426295</v>
      </c>
      <c r="T82" s="44">
        <f t="shared" si="23"/>
        <v>464.9917565082435</v>
      </c>
      <c r="U82" s="44">
        <f t="shared" si="24"/>
        <v>7.5105328692327972E-2</v>
      </c>
      <c r="V82" s="45">
        <f t="shared" si="25"/>
        <v>5586.4332402815871</v>
      </c>
      <c r="W82" s="46">
        <f t="shared" si="26"/>
        <v>3.8459526856806989</v>
      </c>
      <c r="X82" s="47">
        <v>470.21</v>
      </c>
      <c r="Y82" s="46">
        <v>25.48</v>
      </c>
      <c r="Z82" s="47">
        <f>IF(Daily_fuel_gas_composition[[#This Row],[UCH 1 GCV]]&lt;400,0,(Daily_fuel_gas_composition[[#This Row],[UCH 1 GCV]]/(Daily_fuel_gas_composition[[#This Row],[HHV Calculated. 
(BTU/scf)]]/Daily_fuel_gas_composition[[#This Row],[LHV (BTU/scf)]]))/(0.997495*Daily_fuel_gas_composition[[#This Row],[Calculated Density
 (lb/scf)]]))</f>
        <v>5663.3120643168741</v>
      </c>
      <c r="AA82" s="63"/>
    </row>
    <row r="83" spans="1:27" s="33" customFormat="1" ht="16.2" customHeight="1" x14ac:dyDescent="0.25">
      <c r="A83" s="52">
        <v>46047</v>
      </c>
      <c r="B83" s="42">
        <v>0.1459</v>
      </c>
      <c r="C83" s="42">
        <v>23.408999999999999</v>
      </c>
      <c r="D83" s="42">
        <v>41.313600000000001</v>
      </c>
      <c r="E83" s="42">
        <v>33.347499999999997</v>
      </c>
      <c r="F83" s="42">
        <v>1.0785</v>
      </c>
      <c r="G83" s="42">
        <v>0.37690000000000001</v>
      </c>
      <c r="H83" s="42">
        <v>0.1013</v>
      </c>
      <c r="I83" s="42">
        <v>0.11899999999999999</v>
      </c>
      <c r="J83" s="42">
        <v>4.3E-3</v>
      </c>
      <c r="K83" s="42">
        <v>6.0199999999999997E-2</v>
      </c>
      <c r="L83" s="42">
        <v>4.3700000000000003E-2</v>
      </c>
      <c r="M83" s="48">
        <f t="shared" si="18"/>
        <v>43</v>
      </c>
      <c r="N83" s="43" t="e">
        <f>AVERAGEIFS(#REF!,#REF!,'Fuel. Gas specifications'!A64)</f>
        <v>#REF!</v>
      </c>
      <c r="O83" s="43">
        <f t="shared" si="19"/>
        <v>56.756499999999996</v>
      </c>
      <c r="P83" s="44">
        <f t="shared" si="20"/>
        <v>418.80818190818184</v>
      </c>
      <c r="Q83" s="44" cm="1">
        <f t="array" ref="Q83">SUMPRODUCT(B83:L83/100,$B$7:$L$7)</f>
        <v>28.682451812999997</v>
      </c>
      <c r="R83" s="44">
        <f t="shared" si="21"/>
        <v>0.99041615376381198</v>
      </c>
      <c r="S83" s="44">
        <f t="shared" si="22"/>
        <v>466.37937177070745</v>
      </c>
      <c r="T83" s="44">
        <f t="shared" si="23"/>
        <v>464.13913723913726</v>
      </c>
      <c r="U83" s="44">
        <f t="shared" si="24"/>
        <v>7.5619435309781158E-2</v>
      </c>
      <c r="V83" s="45">
        <f t="shared" si="25"/>
        <v>5538.3669580776441</v>
      </c>
      <c r="W83" s="46">
        <f t="shared" si="26"/>
        <v>3.8449572715210318</v>
      </c>
      <c r="X83" s="47">
        <v>464.96</v>
      </c>
      <c r="Y83" s="46">
        <v>46.7</v>
      </c>
      <c r="Z83" s="47">
        <f>IF(Daily_fuel_gas_composition[[#This Row],[UCH 1 GCV]]&lt;400,0,(Daily_fuel_gas_composition[[#This Row],[UCH 1 GCV]]/(Daily_fuel_gas_composition[[#This Row],[HHV Calculated. 
(BTU/scf)]]/Daily_fuel_gas_composition[[#This Row],[LHV (BTU/scf)]]))/(0.997495*Daily_fuel_gas_composition[[#This Row],[Calculated Density
 (lb/scf)]]))</f>
        <v>5562.0949981681351</v>
      </c>
      <c r="AA83" s="63"/>
    </row>
    <row r="84" spans="1:27" s="33" customFormat="1" ht="16.2" customHeight="1" x14ac:dyDescent="0.25">
      <c r="A84" s="52">
        <v>46048</v>
      </c>
      <c r="B84" s="42">
        <v>0.14599999999999999</v>
      </c>
      <c r="C84" s="42">
        <v>23.324000000000002</v>
      </c>
      <c r="D84" s="42">
        <v>41.575499999999998</v>
      </c>
      <c r="E84" s="42">
        <v>33.155900000000003</v>
      </c>
      <c r="F84" s="42">
        <v>1.0899000000000001</v>
      </c>
      <c r="G84" s="42">
        <v>0.37990000000000002</v>
      </c>
      <c r="H84" s="42">
        <v>0.1018</v>
      </c>
      <c r="I84" s="42">
        <v>0.1195</v>
      </c>
      <c r="J84" s="42">
        <v>3.5000000000000001E-3</v>
      </c>
      <c r="K84" s="42">
        <v>6.0299999999999999E-2</v>
      </c>
      <c r="L84" s="42">
        <v>4.3799999999999999E-2</v>
      </c>
      <c r="M84" s="48">
        <f t="shared" si="18"/>
        <v>35</v>
      </c>
      <c r="N84" s="43" t="e">
        <f>AVERAGEIFS(#REF!,#REF!,'Fuel. Gas specifications'!A65)</f>
        <v>#REF!</v>
      </c>
      <c r="O84" s="43">
        <f t="shared" si="19"/>
        <v>56.479900000000001</v>
      </c>
      <c r="P84" s="44">
        <f t="shared" si="20"/>
        <v>421.48021031978959</v>
      </c>
      <c r="Q84" s="44" cm="1">
        <f t="array" ref="Q84">SUMPRODUCT(B84:L84/100,$B$7:$L$7)</f>
        <v>28.621624176999998</v>
      </c>
      <c r="R84" s="44">
        <f t="shared" si="21"/>
        <v>0.98831575196823196</v>
      </c>
      <c r="S84" s="44">
        <f t="shared" si="22"/>
        <v>469.85386317832717</v>
      </c>
      <c r="T84" s="44">
        <f t="shared" si="23"/>
        <v>467.10085329914665</v>
      </c>
      <c r="U84" s="44">
        <f t="shared" si="24"/>
        <v>7.5459067168468216E-2</v>
      </c>
      <c r="V84" s="45">
        <f t="shared" si="25"/>
        <v>5585.5475840802847</v>
      </c>
      <c r="W84" s="46">
        <f t="shared" si="26"/>
        <v>3.8449870380929569</v>
      </c>
      <c r="X84" s="47">
        <v>468.77300000000002</v>
      </c>
      <c r="Y84" s="46">
        <v>35.75</v>
      </c>
      <c r="Z84" s="47">
        <f>IF(Daily_fuel_gas_composition[[#This Row],[UCH 1 GCV]]&lt;400,0,(Daily_fuel_gas_composition[[#This Row],[UCH 1 GCV]]/(Daily_fuel_gas_composition[[#This Row],[HHV Calculated. 
(BTU/scf)]]/Daily_fuel_gas_composition[[#This Row],[LHV (BTU/scf)]]))/(0.997495*Daily_fuel_gas_composition[[#This Row],[Calculated Density
 (lb/scf)]]))</f>
        <v>5619.6201036734401</v>
      </c>
      <c r="AA84" s="63"/>
    </row>
    <row r="85" spans="1:27" s="33" customFormat="1" ht="16.2" customHeight="1" x14ac:dyDescent="0.25">
      <c r="A85" s="52">
        <v>46049</v>
      </c>
      <c r="B85" s="42">
        <v>0.15609999999999999</v>
      </c>
      <c r="C85" s="42">
        <v>23.557300000000001</v>
      </c>
      <c r="D85" s="42">
        <v>41.665700000000001</v>
      </c>
      <c r="E85" s="42">
        <v>32.824100000000001</v>
      </c>
      <c r="F85" s="42">
        <v>1.0879000000000001</v>
      </c>
      <c r="G85" s="42">
        <v>0.37940000000000002</v>
      </c>
      <c r="H85" s="42">
        <v>0.1023</v>
      </c>
      <c r="I85" s="42">
        <v>0.1197</v>
      </c>
      <c r="J85" s="42">
        <v>3.3999999999999998E-3</v>
      </c>
      <c r="K85" s="42">
        <v>6.0400000000000002E-2</v>
      </c>
      <c r="L85" s="42">
        <v>4.3799999999999999E-2</v>
      </c>
      <c r="M85" s="48">
        <f t="shared" si="18"/>
        <v>34</v>
      </c>
      <c r="N85" s="43" t="e">
        <f>AVERAGEIFS(#REF!,#REF!,'Fuel. Gas specifications'!A66)</f>
        <v>#REF!</v>
      </c>
      <c r="O85" s="43">
        <f t="shared" si="19"/>
        <v>56.381399999999999</v>
      </c>
      <c r="P85" s="44">
        <f t="shared" si="20"/>
        <v>422.72545897454103</v>
      </c>
      <c r="Q85" s="44" cm="1">
        <f t="array" ref="Q85">SUMPRODUCT(B85:L85/100,$B$7:$L$7)</f>
        <v>28.563751034999999</v>
      </c>
      <c r="R85" s="44">
        <f t="shared" si="21"/>
        <v>0.98631736999309383</v>
      </c>
      <c r="S85" s="44">
        <f t="shared" si="22"/>
        <v>471.70861545852438</v>
      </c>
      <c r="T85" s="44">
        <f t="shared" si="23"/>
        <v>468.47039322960677</v>
      </c>
      <c r="U85" s="44">
        <f t="shared" si="24"/>
        <v>7.5306488360137092E-2</v>
      </c>
      <c r="V85" s="45">
        <f t="shared" si="25"/>
        <v>5613.4002285825281</v>
      </c>
      <c r="W85" s="46">
        <f t="shared" si="26"/>
        <v>3.84335651332374</v>
      </c>
      <c r="X85" s="47">
        <v>469.827</v>
      </c>
      <c r="Y85" s="46">
        <v>35.700000000000003</v>
      </c>
      <c r="Z85" s="47">
        <f>IF(Daily_fuel_gas_composition[[#This Row],[UCH 1 GCV]]&lt;400,0,(Daily_fuel_gas_composition[[#This Row],[UCH 1 GCV]]/(Daily_fuel_gas_composition[[#This Row],[HHV Calculated. 
(BTU/scf)]]/Daily_fuel_gas_composition[[#This Row],[LHV (BTU/scf)]]))/(0.997495*Daily_fuel_gas_composition[[#This Row],[Calculated Density
 (lb/scf)]]))</f>
        <v>5643.7933375635939</v>
      </c>
      <c r="AA85" s="63"/>
    </row>
    <row r="86" spans="1:27" s="33" customFormat="1" ht="16.2" customHeight="1" x14ac:dyDescent="0.25">
      <c r="A86" s="52">
        <v>46050</v>
      </c>
      <c r="B86" s="42">
        <v>0.15279999999999999</v>
      </c>
      <c r="C86" s="42">
        <v>23.3232</v>
      </c>
      <c r="D86" s="42">
        <v>41.4878</v>
      </c>
      <c r="E86" s="42">
        <v>33.244300000000003</v>
      </c>
      <c r="F86" s="42">
        <v>1.0826</v>
      </c>
      <c r="G86" s="42">
        <v>0.37940000000000002</v>
      </c>
      <c r="H86" s="42">
        <v>0.1023</v>
      </c>
      <c r="I86" s="42">
        <v>0.11940000000000001</v>
      </c>
      <c r="J86" s="42">
        <v>3.8E-3</v>
      </c>
      <c r="K86" s="42">
        <v>6.0699999999999997E-2</v>
      </c>
      <c r="L86" s="42">
        <v>4.3799999999999999E-2</v>
      </c>
      <c r="M86" s="48">
        <f t="shared" si="18"/>
        <v>38</v>
      </c>
      <c r="N86" s="43" t="e">
        <f>AVERAGEIFS(#REF!,#REF!,'Fuel. Gas specifications'!A67)</f>
        <v>#REF!</v>
      </c>
      <c r="O86" s="43">
        <f t="shared" si="19"/>
        <v>56.567500000000003</v>
      </c>
      <c r="P86" s="44">
        <f t="shared" si="20"/>
        <v>420.8809335190665</v>
      </c>
      <c r="Q86" s="44" cm="1">
        <f t="array" ref="Q86">SUMPRODUCT(B86:L86/100,$B$7:$L$7)</f>
        <v>28.650302975000002</v>
      </c>
      <c r="R86" s="44">
        <f t="shared" si="21"/>
        <v>0.98930604195441996</v>
      </c>
      <c r="S86" s="44">
        <f t="shared" si="22"/>
        <v>468.94179757842812</v>
      </c>
      <c r="T86" s="44">
        <f t="shared" si="23"/>
        <v>466.42763597236416</v>
      </c>
      <c r="U86" s="44">
        <f t="shared" si="24"/>
        <v>7.553467697073557E-2</v>
      </c>
      <c r="V86" s="45">
        <f t="shared" si="25"/>
        <v>5572.0226841259755</v>
      </c>
      <c r="W86" s="46">
        <f t="shared" si="26"/>
        <v>3.8435946032561299</v>
      </c>
      <c r="X86" s="47">
        <v>468.35599999999999</v>
      </c>
      <c r="Y86" s="46">
        <v>40.130000000000003</v>
      </c>
      <c r="Z86" s="47">
        <f>IF(Daily_fuel_gas_composition[[#This Row],[UCH 1 GCV]]&lt;400,0,(Daily_fuel_gas_composition[[#This Row],[UCH 1 GCV]]/(Daily_fuel_gas_composition[[#This Row],[HHV Calculated. 
(BTU/scf)]]/Daily_fuel_gas_composition[[#This Row],[LHV (BTU/scf)]]))/(0.997495*Daily_fuel_gas_composition[[#This Row],[Calculated Density
 (lb/scf)]]))</f>
        <v>5609.1100645880051</v>
      </c>
      <c r="AA86" s="63"/>
    </row>
    <row r="87" spans="1:27" s="33" customFormat="1" ht="16.2" customHeight="1" x14ac:dyDescent="0.25">
      <c r="A87" s="52">
        <v>46051</v>
      </c>
      <c r="B87" s="42">
        <v>0.1497</v>
      </c>
      <c r="C87" s="42">
        <v>23.450099999999999</v>
      </c>
      <c r="D87" s="42">
        <v>41.543300000000002</v>
      </c>
      <c r="E87" s="42">
        <v>33.065800000000003</v>
      </c>
      <c r="F87" s="42">
        <v>1.0822000000000001</v>
      </c>
      <c r="G87" s="42">
        <v>0.37969999999999998</v>
      </c>
      <c r="H87" s="42">
        <v>0.1023</v>
      </c>
      <c r="I87" s="42">
        <v>0.11940000000000001</v>
      </c>
      <c r="J87" s="42">
        <v>3.0000000000000001E-3</v>
      </c>
      <c r="K87" s="42">
        <v>6.0600000000000001E-2</v>
      </c>
      <c r="L87" s="42">
        <v>4.3799999999999999E-2</v>
      </c>
      <c r="M87" s="48">
        <f t="shared" si="18"/>
        <v>30</v>
      </c>
      <c r="N87" s="43" t="e">
        <f>AVERAGEIFS(#REF!,#REF!,'Fuel. Gas specifications'!A68)</f>
        <v>#REF!</v>
      </c>
      <c r="O87" s="43">
        <f t="shared" si="19"/>
        <v>56.515900000000002</v>
      </c>
      <c r="P87" s="44">
        <f t="shared" si="20"/>
        <v>421.24205134205141</v>
      </c>
      <c r="Q87" s="44" cm="1">
        <f t="array" ref="Q87">SUMPRODUCT(B87:L87/100,$B$7:$L$7)</f>
        <v>28.613193221</v>
      </c>
      <c r="R87" s="44">
        <f t="shared" si="21"/>
        <v>0.98802462779696132</v>
      </c>
      <c r="S87" s="44">
        <f t="shared" si="22"/>
        <v>469.65366716189988</v>
      </c>
      <c r="T87" s="44">
        <f t="shared" si="23"/>
        <v>466.83305853305853</v>
      </c>
      <c r="U87" s="44">
        <f t="shared" si="24"/>
        <v>7.5436839496440811E-2</v>
      </c>
      <c r="V87" s="45">
        <f t="shared" si="25"/>
        <v>5584.0363163932134</v>
      </c>
      <c r="W87" s="46">
        <f t="shared" si="26"/>
        <v>3.8443476453647429</v>
      </c>
      <c r="X87" s="47">
        <v>468.63</v>
      </c>
      <c r="Y87" s="46">
        <v>32.21</v>
      </c>
      <c r="Z87" s="47">
        <f>IF(Daily_fuel_gas_composition[[#This Row],[UCH 1 GCV]]&lt;400,0,(Daily_fuel_gas_composition[[#This Row],[UCH 1 GCV]]/(Daily_fuel_gas_composition[[#This Row],[HHV Calculated. 
(BTU/scf)]]/Daily_fuel_gas_composition[[#This Row],[LHV (BTU/scf)]]))/(0.997495*Daily_fuel_gas_composition[[#This Row],[Calculated Density
 (lb/scf)]]))</f>
        <v>5619.6075976161083</v>
      </c>
      <c r="AA87" s="63"/>
    </row>
    <row r="88" spans="1:27" s="33" customFormat="1" ht="16.2" customHeight="1" x14ac:dyDescent="0.25">
      <c r="A88" s="52">
        <v>46052</v>
      </c>
      <c r="B88" s="42">
        <v>0.15079999999999999</v>
      </c>
      <c r="C88" s="42">
        <v>23.328399999999998</v>
      </c>
      <c r="D88" s="42">
        <v>41.445099999999996</v>
      </c>
      <c r="E88" s="42">
        <v>33.286200000000001</v>
      </c>
      <c r="F88" s="42">
        <v>1.0824</v>
      </c>
      <c r="G88" s="42">
        <v>0.3785</v>
      </c>
      <c r="H88" s="42">
        <v>0.10199999999999999</v>
      </c>
      <c r="I88" s="42">
        <v>0.1193</v>
      </c>
      <c r="J88" s="42">
        <v>3.0000000000000001E-3</v>
      </c>
      <c r="K88" s="42">
        <v>6.0499999999999998E-2</v>
      </c>
      <c r="L88" s="42">
        <v>4.3799999999999999E-2</v>
      </c>
      <c r="M88" s="48">
        <f t="shared" si="18"/>
        <v>30</v>
      </c>
      <c r="N88" s="43" t="e">
        <f>AVERAGEIFS(#REF!,#REF!,'Fuel. Gas specifications'!A69)</f>
        <v>#REF!</v>
      </c>
      <c r="O88" s="43">
        <f t="shared" si="19"/>
        <v>56.614599999999996</v>
      </c>
      <c r="P88" s="44">
        <f t="shared" si="20"/>
        <v>420.35678869999992</v>
      </c>
      <c r="Q88" s="44" cm="1">
        <f t="array" ref="Q88">SUMPRODUCT(B88:L88/100,$B$7:$L$7)</f>
        <v>28.660519494999999</v>
      </c>
      <c r="R88" s="44">
        <f t="shared" si="21"/>
        <v>0.9896588223411602</v>
      </c>
      <c r="S88" s="44">
        <f t="shared" si="22"/>
        <v>468.27697365589205</v>
      </c>
      <c r="T88" s="44">
        <f t="shared" si="23"/>
        <v>465.84941369999996</v>
      </c>
      <c r="U88" s="44">
        <f t="shared" si="24"/>
        <v>7.5561612167150002E-2</v>
      </c>
      <c r="V88" s="45">
        <f t="shared" si="25"/>
        <v>5563.0997889527262</v>
      </c>
      <c r="W88" s="46">
        <f t="shared" si="26"/>
        <v>3.8439548716553809</v>
      </c>
      <c r="X88" s="47">
        <v>466.78</v>
      </c>
      <c r="Y88" s="46">
        <v>31.33</v>
      </c>
      <c r="Z88" s="47">
        <f>IF(Daily_fuel_gas_composition[[#This Row],[UCH 1 GCV]]&lt;400,0,(Daily_fuel_gas_composition[[#This Row],[UCH 1 GCV]]/(Daily_fuel_gas_composition[[#This Row],[HHV Calculated. 
(BTU/scf)]]/Daily_fuel_gas_composition[[#This Row],[LHV (BTU/scf)]]))/(0.997495*Daily_fuel_gas_composition[[#This Row],[Calculated Density
 (lb/scf)]]))</f>
        <v>5588.2111718905144</v>
      </c>
      <c r="AA88" s="63"/>
    </row>
    <row r="89" spans="1:27" s="33" customFormat="1" ht="16.2" customHeight="1" x14ac:dyDescent="0.25">
      <c r="A89" s="52">
        <v>46053</v>
      </c>
      <c r="B89" s="42">
        <v>0.1547</v>
      </c>
      <c r="C89" s="42">
        <v>23.370999999999999</v>
      </c>
      <c r="D89" s="42">
        <v>41.48</v>
      </c>
      <c r="E89" s="42">
        <v>33.207700000000003</v>
      </c>
      <c r="F89" s="42">
        <v>1.0788</v>
      </c>
      <c r="G89" s="42">
        <v>0.37909999999999999</v>
      </c>
      <c r="H89" s="42">
        <v>0.1024</v>
      </c>
      <c r="I89" s="42">
        <v>0.1192</v>
      </c>
      <c r="J89" s="42">
        <v>2.5999999999999999E-3</v>
      </c>
      <c r="K89" s="42">
        <v>6.0699999999999997E-2</v>
      </c>
      <c r="L89" s="42">
        <v>4.3700000000000003E-2</v>
      </c>
      <c r="M89" s="48">
        <f t="shared" si="18"/>
        <v>26</v>
      </c>
      <c r="N89" s="43" t="e">
        <f>AVERAGEIFS(#REF!,#REF!,'Fuel. Gas specifications'!A70)</f>
        <v>#REF!</v>
      </c>
      <c r="O89" s="43">
        <f t="shared" si="19"/>
        <v>56.578699999999998</v>
      </c>
      <c r="P89" s="44">
        <f t="shared" si="20"/>
        <v>420.81228921228916</v>
      </c>
      <c r="Q89" s="44" cm="1">
        <f t="array" ref="Q89">SUMPRODUCT(B89:L89/100,$B$7:$L$7)</f>
        <v>28.646157353999996</v>
      </c>
      <c r="R89" s="44">
        <f t="shared" si="21"/>
        <v>0.98916289205801089</v>
      </c>
      <c r="S89" s="44">
        <f t="shared" si="22"/>
        <v>468.89810177007467</v>
      </c>
      <c r="T89" s="44">
        <f t="shared" si="23"/>
        <v>466.35043095043085</v>
      </c>
      <c r="U89" s="44">
        <f t="shared" si="24"/>
        <v>7.5523747308199302E-2</v>
      </c>
      <c r="V89" s="45">
        <f t="shared" si="25"/>
        <v>5571.9201471164724</v>
      </c>
      <c r="W89" s="46">
        <f t="shared" si="26"/>
        <v>3.8433376139583761</v>
      </c>
      <c r="X89" s="47">
        <v>468.21</v>
      </c>
      <c r="Y89" s="46">
        <v>27.19</v>
      </c>
      <c r="Z89" s="47">
        <f>IF(Daily_fuel_gas_composition[[#This Row],[UCH 1 GCV]]&lt;400,0,(Daily_fuel_gas_composition[[#This Row],[UCH 1 GCV]]/(Daily_fuel_gas_composition[[#This Row],[HHV Calculated. 
(BTU/scf)]]/Daily_fuel_gas_composition[[#This Row],[LHV (BTU/scf)]]))/(0.997495*Daily_fuel_gas_composition[[#This Row],[Calculated Density
 (lb/scf)]]))</f>
        <v>5608.1866468989592</v>
      </c>
      <c r="AA89" s="63"/>
    </row>
    <row r="90" spans="1:27" s="33" customFormat="1" ht="16.2" customHeight="1" x14ac:dyDescent="0.25">
      <c r="A90" s="52">
        <v>46054</v>
      </c>
      <c r="B90" s="42">
        <v>0.15190000000000001</v>
      </c>
      <c r="C90" s="42">
        <v>22.9559</v>
      </c>
      <c r="D90" s="42">
        <v>41.5929</v>
      </c>
      <c r="E90" s="42">
        <v>33.495699999999999</v>
      </c>
      <c r="F90" s="42">
        <v>1.0903</v>
      </c>
      <c r="G90" s="42">
        <v>0.38100000000000001</v>
      </c>
      <c r="H90" s="42">
        <v>0.1027</v>
      </c>
      <c r="I90" s="42">
        <v>0.1196</v>
      </c>
      <c r="J90" s="42">
        <v>5.3E-3</v>
      </c>
      <c r="K90" s="42">
        <v>6.0699999999999997E-2</v>
      </c>
      <c r="L90" s="42">
        <v>4.3799999999999999E-2</v>
      </c>
      <c r="M90" s="48">
        <f t="shared" si="18"/>
        <v>53</v>
      </c>
      <c r="N90" s="43" t="e">
        <f>AVERAGEIFS(#REF!,#REF!,'Fuel. Gas specifications'!A71)</f>
        <v>#REF!</v>
      </c>
      <c r="O90" s="43">
        <f t="shared" si="19"/>
        <v>56.451599999999999</v>
      </c>
      <c r="P90" s="44">
        <f t="shared" si="20"/>
        <v>421.98684707369415</v>
      </c>
      <c r="Q90" s="44" cm="1">
        <f t="array" ref="Q90">SUMPRODUCT(B90:L90/100,$B$7:$L$7)</f>
        <v>28.678018845999997</v>
      </c>
      <c r="R90" s="44">
        <f t="shared" si="21"/>
        <v>0.99026308169889488</v>
      </c>
      <c r="S90" s="44">
        <f t="shared" si="22"/>
        <v>469.94686381171334</v>
      </c>
      <c r="T90" s="44">
        <f t="shared" si="23"/>
        <v>467.6533501067002</v>
      </c>
      <c r="U90" s="44">
        <f t="shared" si="24"/>
        <v>7.5607748078038481E-2</v>
      </c>
      <c r="V90" s="45">
        <f t="shared" si="25"/>
        <v>5581.2645899483841</v>
      </c>
      <c r="W90" s="46">
        <f t="shared" si="26"/>
        <v>3.8437158655026726</v>
      </c>
      <c r="X90" s="47">
        <v>470.62</v>
      </c>
      <c r="Y90" s="46">
        <v>52.31</v>
      </c>
      <c r="Z90" s="47">
        <f>IF(Daily_fuel_gas_composition[[#This Row],[UCH 1 GCV]]&lt;400,0,(Daily_fuel_gas_composition[[#This Row],[UCH 1 GCV]]/(Daily_fuel_gas_composition[[#This Row],[HHV Calculated. 
(BTU/scf)]]/Daily_fuel_gas_composition[[#This Row],[LHV (BTU/scf)]]))/(0.997495*Daily_fuel_gas_composition[[#This Row],[Calculated Density
 (lb/scf)]]))</f>
        <v>5630.7755190116595</v>
      </c>
      <c r="AA90" s="63"/>
    </row>
    <row r="91" spans="1:27" s="33" customFormat="1" ht="16.2" customHeight="1" x14ac:dyDescent="0.25">
      <c r="A91" s="52">
        <v>46055</v>
      </c>
      <c r="B91" s="42">
        <v>0.1502</v>
      </c>
      <c r="C91" s="42">
        <v>23.192699999999999</v>
      </c>
      <c r="D91" s="42">
        <v>41.642600000000002</v>
      </c>
      <c r="E91" s="42">
        <v>33.214700000000001</v>
      </c>
      <c r="F91" s="42">
        <v>1.0893999999999999</v>
      </c>
      <c r="G91" s="42">
        <v>0.38059999999999999</v>
      </c>
      <c r="H91" s="42">
        <v>0.1026</v>
      </c>
      <c r="I91" s="42">
        <v>0.1197</v>
      </c>
      <c r="J91" s="42">
        <v>2.8E-3</v>
      </c>
      <c r="K91" s="42">
        <v>6.0699999999999997E-2</v>
      </c>
      <c r="L91" s="42">
        <v>4.3999999999999997E-2</v>
      </c>
      <c r="M91" s="48">
        <f t="shared" si="18"/>
        <v>28</v>
      </c>
      <c r="N91" s="43" t="e">
        <f>AVERAGEIFS(#REF!,#REF!,'Fuel. Gas specifications'!A72)</f>
        <v>#REF!</v>
      </c>
      <c r="O91" s="43">
        <f t="shared" si="19"/>
        <v>56.407399999999996</v>
      </c>
      <c r="P91" s="44">
        <f t="shared" si="20"/>
        <v>422.33203660000027</v>
      </c>
      <c r="Q91" s="44" cm="1">
        <f t="array" ref="Q91">SUMPRODUCT(B91:L91/100,$B$7:$L$7)</f>
        <v>28.626039173999995</v>
      </c>
      <c r="R91" s="44">
        <f t="shared" si="21"/>
        <v>0.9884682035220993</v>
      </c>
      <c r="S91" s="44">
        <f t="shared" si="22"/>
        <v>470.76188032134678</v>
      </c>
      <c r="T91" s="44">
        <f t="shared" si="23"/>
        <v>468.0396444000001</v>
      </c>
      <c r="U91" s="44">
        <f t="shared" si="24"/>
        <v>7.5470707023464256E-2</v>
      </c>
      <c r="V91" s="45">
        <f t="shared" si="25"/>
        <v>5595.9729709262556</v>
      </c>
      <c r="W91" s="46">
        <f t="shared" si="26"/>
        <v>3.8441317255076983</v>
      </c>
      <c r="X91" s="47">
        <v>470.45400000000001</v>
      </c>
      <c r="Y91" s="46">
        <v>29.25</v>
      </c>
      <c r="Z91" s="47">
        <f>IF(Daily_fuel_gas_composition[[#This Row],[UCH 1 GCV]]&lt;400,0,(Daily_fuel_gas_composition[[#This Row],[UCH 1 GCV]]/(Daily_fuel_gas_composition[[#This Row],[HHV Calculated. 
(BTU/scf)]]/Daily_fuel_gas_composition[[#This Row],[LHV (BTU/scf)]]))/(0.997495*Daily_fuel_gas_composition[[#This Row],[Calculated Density
 (lb/scf)]]))</f>
        <v>5638.9650833415162</v>
      </c>
      <c r="AA91" s="63"/>
    </row>
    <row r="92" spans="1:27" s="33" customFormat="1" ht="16.2" customHeight="1" x14ac:dyDescent="0.25">
      <c r="A92" s="52">
        <v>46056</v>
      </c>
      <c r="B92" s="42">
        <v>0.14929999999999999</v>
      </c>
      <c r="C92" s="42">
        <v>22.7561</v>
      </c>
      <c r="D92" s="42">
        <v>41.893000000000001</v>
      </c>
      <c r="E92" s="42">
        <v>33.367400000000004</v>
      </c>
      <c r="F92" s="42">
        <v>1.1116999999999999</v>
      </c>
      <c r="G92" s="42">
        <v>0.38540000000000002</v>
      </c>
      <c r="H92" s="42">
        <v>0.1041</v>
      </c>
      <c r="I92" s="42">
        <v>0.12180000000000001</v>
      </c>
      <c r="J92" s="42">
        <v>4.4999999999999997E-3</v>
      </c>
      <c r="K92" s="42">
        <v>6.1600000000000002E-2</v>
      </c>
      <c r="L92" s="42">
        <v>4.4999999999999998E-2</v>
      </c>
      <c r="M92" s="48">
        <f t="shared" si="18"/>
        <v>45</v>
      </c>
      <c r="N92" s="43" t="e">
        <f>AVERAGEIFS(#REF!,#REF!,'Fuel. Gas specifications'!A73)</f>
        <v>#REF!</v>
      </c>
      <c r="O92" s="43">
        <f t="shared" si="19"/>
        <v>56.123500000000007</v>
      </c>
      <c r="P92" s="44">
        <f t="shared" si="20"/>
        <v>425.2306189306189</v>
      </c>
      <c r="Q92" s="44" cm="1">
        <f t="array" ref="Q92">SUMPRODUCT(B92:L92/100,$B$7:$L$7)</f>
        <v>28.623198668999997</v>
      </c>
      <c r="R92" s="44">
        <f t="shared" si="21"/>
        <v>0.98837011978591149</v>
      </c>
      <c r="S92" s="44">
        <f t="shared" si="22"/>
        <v>474.01036354387332</v>
      </c>
      <c r="T92" s="44">
        <f t="shared" si="23"/>
        <v>471.24596074596087</v>
      </c>
      <c r="U92" s="44">
        <f t="shared" si="24"/>
        <v>7.5463218215133132E-2</v>
      </c>
      <c r="V92" s="45">
        <f t="shared" si="25"/>
        <v>5634.9388349481314</v>
      </c>
      <c r="W92" s="46">
        <f t="shared" si="26"/>
        <v>3.8433525890137585</v>
      </c>
      <c r="X92" s="47">
        <v>473.26</v>
      </c>
      <c r="Y92" s="46">
        <v>41.35</v>
      </c>
      <c r="Z92" s="47">
        <f>IF(Daily_fuel_gas_composition[[#This Row],[UCH 1 GCV]]&lt;400,0,(Daily_fuel_gas_composition[[#This Row],[UCH 1 GCV]]/(Daily_fuel_gas_composition[[#This Row],[HHV Calculated. 
(BTU/scf)]]/Daily_fuel_gas_composition[[#This Row],[LHV (BTU/scf)]]))/(0.997495*Daily_fuel_gas_composition[[#This Row],[Calculated Density
 (lb/scf)]]))</f>
        <v>5673.2332237700812</v>
      </c>
      <c r="AA92" s="63"/>
    </row>
    <row r="93" spans="1:27" s="33" customFormat="1" ht="16.2" customHeight="1" x14ac:dyDescent="0.25">
      <c r="A93" s="52">
        <v>46057</v>
      </c>
      <c r="B93" s="42">
        <v>0.1467</v>
      </c>
      <c r="C93" s="42">
        <v>22.388400000000001</v>
      </c>
      <c r="D93" s="42">
        <v>42.289400000000001</v>
      </c>
      <c r="E93" s="42">
        <v>33.310400000000001</v>
      </c>
      <c r="F93" s="42">
        <v>1.1308</v>
      </c>
      <c r="G93" s="42">
        <v>0.39140000000000003</v>
      </c>
      <c r="H93" s="42">
        <v>0.1057</v>
      </c>
      <c r="I93" s="42">
        <v>0.12330000000000001</v>
      </c>
      <c r="J93" s="42">
        <v>5.7999999999999996E-3</v>
      </c>
      <c r="K93" s="42">
        <v>6.25E-2</v>
      </c>
      <c r="L93" s="42">
        <v>4.5600000000000002E-2</v>
      </c>
      <c r="M93" s="48">
        <f t="shared" si="18"/>
        <v>57.999999999999993</v>
      </c>
      <c r="N93" s="43" t="e">
        <f>AVERAGEIFS(#REF!,#REF!,'Fuel. Gas specifications'!A74)</f>
        <v>#REF!</v>
      </c>
      <c r="O93" s="43">
        <f t="shared" si="19"/>
        <v>55.698800000000006</v>
      </c>
      <c r="P93" s="44">
        <f t="shared" si="20"/>
        <v>429.32495140000003</v>
      </c>
      <c r="Q93" s="44" cm="1">
        <f t="array" ref="Q93">SUMPRODUCT(B93:L93/100,$B$7:$L$7)</f>
        <v>28.568179310999998</v>
      </c>
      <c r="R93" s="44">
        <f t="shared" si="21"/>
        <v>0.98647028007596671</v>
      </c>
      <c r="S93" s="44">
        <f t="shared" si="22"/>
        <v>479.03538762498243</v>
      </c>
      <c r="T93" s="44">
        <f t="shared" si="23"/>
        <v>475.78374440000016</v>
      </c>
      <c r="U93" s="44">
        <f t="shared" si="24"/>
        <v>7.5318163224360662E-2</v>
      </c>
      <c r="V93" s="45">
        <f t="shared" si="25"/>
        <v>5700.1516370109857</v>
      </c>
      <c r="W93" s="46">
        <f t="shared" si="26"/>
        <v>3.8435059787482393</v>
      </c>
      <c r="X93" s="47">
        <v>478.68</v>
      </c>
      <c r="Y93" s="46">
        <v>55.71</v>
      </c>
      <c r="Z93" s="47">
        <f>IF(Daily_fuel_gas_composition[[#This Row],[UCH 1 GCV]]&lt;400,0,(Daily_fuel_gas_composition[[#This Row],[UCH 1 GCV]]/(Daily_fuel_gas_composition[[#This Row],[HHV Calculated. 
(BTU/scf)]]/Daily_fuel_gas_composition[[#This Row],[LHV (BTU/scf)]]))/(0.997495*Daily_fuel_gas_composition[[#This Row],[Calculated Density
 (lb/scf)]]))</f>
        <v>5749.2522531829882</v>
      </c>
      <c r="AA93" s="63"/>
    </row>
    <row r="94" spans="1:27" s="33" customFormat="1" ht="16.2" customHeight="1" x14ac:dyDescent="0.25">
      <c r="A94" s="52">
        <v>46058</v>
      </c>
      <c r="B94" s="42">
        <v>0.14030000000000001</v>
      </c>
      <c r="C94" s="42">
        <v>23.163499999999999</v>
      </c>
      <c r="D94" s="42">
        <v>41.747999999999998</v>
      </c>
      <c r="E94" s="42">
        <v>33.130899999999997</v>
      </c>
      <c r="F94" s="42">
        <v>1.1008</v>
      </c>
      <c r="G94" s="42">
        <v>0.3826</v>
      </c>
      <c r="H94" s="42">
        <v>0.1033</v>
      </c>
      <c r="I94" s="42">
        <v>0.12089999999999999</v>
      </c>
      <c r="J94" s="42">
        <v>4.1999999999999997E-3</v>
      </c>
      <c r="K94" s="42">
        <v>6.0999999999999999E-2</v>
      </c>
      <c r="L94" s="42">
        <v>4.4499999999999998E-2</v>
      </c>
      <c r="M94" s="48">
        <f t="shared" si="18"/>
        <v>42</v>
      </c>
      <c r="N94" s="43" t="e">
        <f>AVERAGEIFS(#REF!,#REF!,'Fuel. Gas specifications'!#REF!)</f>
        <v>#REF!</v>
      </c>
      <c r="O94" s="43">
        <f t="shared" si="19"/>
        <v>56.294399999999996</v>
      </c>
      <c r="P94" s="44">
        <f t="shared" si="20"/>
        <v>423.18037689999994</v>
      </c>
      <c r="Q94" s="44" cm="1">
        <f t="array" ref="Q94">SUMPRODUCT(B94:L94/100,$B$7:$L$7)</f>
        <v>28.595825373999993</v>
      </c>
      <c r="R94" s="44">
        <f t="shared" si="21"/>
        <v>0.98742490932320415</v>
      </c>
      <c r="S94" s="44">
        <f t="shared" si="22"/>
        <v>471.96517491103407</v>
      </c>
      <c r="T94" s="44">
        <f t="shared" si="23"/>
        <v>468.9882841999999</v>
      </c>
      <c r="U94" s="44">
        <f t="shared" si="24"/>
        <v>7.5391050287371447E-2</v>
      </c>
      <c r="V94" s="45">
        <f t="shared" si="25"/>
        <v>5613.1381017633303</v>
      </c>
      <c r="W94" s="46">
        <f t="shared" si="26"/>
        <v>3.8455392865814386</v>
      </c>
      <c r="X94" s="47">
        <v>471.98</v>
      </c>
      <c r="Y94" s="46">
        <v>36.83</v>
      </c>
      <c r="Z94" s="47">
        <f>IF(Daily_fuel_gas_composition[[#This Row],[UCH 1 GCV]]&lt;400,0,(Daily_fuel_gas_composition[[#This Row],[UCH 1 GCV]]/(Daily_fuel_gas_composition[[#This Row],[HHV Calculated. 
(BTU/scf)]]/Daily_fuel_gas_composition[[#This Row],[LHV (BTU/scf)]]))/(0.997495*Daily_fuel_gas_composition[[#This Row],[Calculated Density
 (lb/scf)]]))</f>
        <v>5663.1309258638403</v>
      </c>
      <c r="AA94" s="63"/>
    </row>
    <row r="95" spans="1:27" s="33" customFormat="1" ht="16.2" customHeight="1" x14ac:dyDescent="0.25">
      <c r="A95" s="52">
        <v>46059</v>
      </c>
      <c r="B95" s="42">
        <v>0.14779999999999999</v>
      </c>
      <c r="C95" s="42">
        <v>23.255099999999999</v>
      </c>
      <c r="D95" s="42">
        <v>41.730200000000004</v>
      </c>
      <c r="E95" s="42">
        <v>33.054299999999998</v>
      </c>
      <c r="F95" s="42">
        <v>1.0974999999999999</v>
      </c>
      <c r="G95" s="42">
        <v>0.38119999999999998</v>
      </c>
      <c r="H95" s="42">
        <v>0.1032</v>
      </c>
      <c r="I95" s="42">
        <v>0.1212</v>
      </c>
      <c r="J95" s="42">
        <v>3.3999999999999998E-3</v>
      </c>
      <c r="K95" s="42">
        <v>6.1199999999999997E-2</v>
      </c>
      <c r="L95" s="42">
        <v>4.4999999999999998E-2</v>
      </c>
      <c r="M95" s="48">
        <f t="shared" si="18"/>
        <v>34</v>
      </c>
      <c r="N95" s="43" t="e">
        <f>AVERAGEIFS(#REF!,#REF!,'Fuel. Gas specifications'!#REF!)</f>
        <v>#REF!</v>
      </c>
      <c r="O95" s="43">
        <f t="shared" si="19"/>
        <v>56.309399999999997</v>
      </c>
      <c r="P95" s="44">
        <f t="shared" si="20"/>
        <v>423.28980981019015</v>
      </c>
      <c r="Q95" s="44" cm="1">
        <f t="array" ref="Q95">SUMPRODUCT(B95:L95/100,$B$7:$L$7)</f>
        <v>28.590120230999993</v>
      </c>
      <c r="R95" s="44">
        <f t="shared" si="21"/>
        <v>0.98722790852900522</v>
      </c>
      <c r="S95" s="44">
        <f t="shared" si="22"/>
        <v>472.12529259221361</v>
      </c>
      <c r="T95" s="44">
        <f t="shared" si="23"/>
        <v>469.10058989941018</v>
      </c>
      <c r="U95" s="44">
        <f t="shared" si="24"/>
        <v>7.5376009045610315E-2</v>
      </c>
      <c r="V95" s="45">
        <f t="shared" si="25"/>
        <v>5615.7100272323496</v>
      </c>
      <c r="W95" s="46">
        <f t="shared" si="26"/>
        <v>3.8441041528610795</v>
      </c>
      <c r="X95" s="47">
        <v>472.39699999999999</v>
      </c>
      <c r="Y95" s="46">
        <v>31.5</v>
      </c>
      <c r="Z95" s="47">
        <f>IF(Daily_fuel_gas_composition[[#This Row],[UCH 1 GCV]]&lt;400,0,(Daily_fuel_gas_composition[[#This Row],[UCH 1 GCV]]/(Daily_fuel_gas_composition[[#This Row],[HHV Calculated. 
(BTU/scf)]]/Daily_fuel_gas_composition[[#This Row],[LHV (BTU/scf)]]))/(0.997495*Daily_fuel_gas_composition[[#This Row],[Calculated Density
 (lb/scf)]]))</f>
        <v>5669.3738850820064</v>
      </c>
      <c r="AA95" s="63"/>
    </row>
    <row r="96" spans="1:27" s="33" customFormat="1" ht="16.2" customHeight="1" x14ac:dyDescent="0.25">
      <c r="A96" s="52">
        <v>46061</v>
      </c>
      <c r="B96" s="42">
        <v>0.15859999999999999</v>
      </c>
      <c r="C96" s="42">
        <v>23.6188</v>
      </c>
      <c r="D96" s="42">
        <v>41.728000000000002</v>
      </c>
      <c r="E96" s="42">
        <v>32.648200000000003</v>
      </c>
      <c r="F96" s="42">
        <v>1.1117999999999999</v>
      </c>
      <c r="G96" s="42">
        <v>0.38619999999999999</v>
      </c>
      <c r="H96" s="42">
        <v>0.1061</v>
      </c>
      <c r="I96" s="42">
        <v>0.12609999999999999</v>
      </c>
      <c r="J96" s="42">
        <v>3.2000000000000002E-3</v>
      </c>
      <c r="K96" s="42">
        <v>6.4699999999999994E-2</v>
      </c>
      <c r="L96" s="42">
        <v>4.8300000000000003E-2</v>
      </c>
      <c r="M96" s="48">
        <f t="shared" si="18"/>
        <v>32</v>
      </c>
      <c r="N96" s="43" t="e">
        <f>AVERAGEIFS(#REF!,#REF!,'Fuel. Gas specifications'!A76)</f>
        <v>#REF!</v>
      </c>
      <c r="O96" s="43">
        <f t="shared" si="19"/>
        <v>56.267000000000003</v>
      </c>
      <c r="P96" s="44">
        <f t="shared" si="20"/>
        <v>424.57821569999999</v>
      </c>
      <c r="Q96" s="44" cm="1">
        <f t="array" ref="Q96">SUMPRODUCT(B96:L96/100,$B$7:$L$7)</f>
        <v>28.538109566000003</v>
      </c>
      <c r="R96" s="44">
        <f t="shared" si="21"/>
        <v>0.98543196015193379</v>
      </c>
      <c r="S96" s="44">
        <f t="shared" si="22"/>
        <v>473.96155410763458</v>
      </c>
      <c r="T96" s="44">
        <f t="shared" si="23"/>
        <v>470.49654279999982</v>
      </c>
      <c r="U96" s="44">
        <f t="shared" si="24"/>
        <v>7.5238886279989453E-2</v>
      </c>
      <c r="V96" s="45">
        <f t="shared" si="25"/>
        <v>5643.0688529864756</v>
      </c>
      <c r="W96" s="46">
        <f t="shared" si="26"/>
        <v>3.8392365988442991</v>
      </c>
      <c r="X96" s="47">
        <v>473.14400000000001</v>
      </c>
      <c r="Y96" s="46">
        <v>32.07</v>
      </c>
      <c r="Z96" s="47">
        <f>IF(Daily_fuel_gas_composition[[#This Row],[UCH 1 GCV]]&lt;400,0,(Daily_fuel_gas_composition[[#This Row],[UCH 1 GCV]]/(Daily_fuel_gas_composition[[#This Row],[HHV Calculated. 
(BTU/scf)]]/Daily_fuel_gas_composition[[#This Row],[LHV (BTU/scf)]]))/(0.997495*Daily_fuel_gas_composition[[#This Row],[Calculated Density
 (lb/scf)]]))</f>
        <v>5689.0732078166693</v>
      </c>
      <c r="AA96" s="63"/>
    </row>
    <row r="97" spans="1:27" s="33" customFormat="1" ht="16.2" customHeight="1" x14ac:dyDescent="0.25">
      <c r="A97" s="52">
        <v>46062</v>
      </c>
      <c r="B97" s="42">
        <v>0.15509999999999999</v>
      </c>
      <c r="C97" s="42">
        <v>22.921800000000001</v>
      </c>
      <c r="D97" s="42">
        <v>41.800400000000003</v>
      </c>
      <c r="E97" s="42">
        <v>33.307600000000001</v>
      </c>
      <c r="F97" s="42">
        <v>1.0925</v>
      </c>
      <c r="G97" s="42">
        <v>0.38590000000000002</v>
      </c>
      <c r="H97" s="42">
        <v>0.1046</v>
      </c>
      <c r="I97" s="42">
        <v>0.1208</v>
      </c>
      <c r="J97" s="42">
        <v>5.1999999999999998E-3</v>
      </c>
      <c r="K97" s="42">
        <v>6.1899999999999997E-2</v>
      </c>
      <c r="L97" s="42">
        <v>4.4200000000000003E-2</v>
      </c>
      <c r="M97" s="48">
        <f t="shared" si="18"/>
        <v>52</v>
      </c>
      <c r="N97" s="43" t="e">
        <f>AVERAGEIFS(#REF!,#REF!,'Fuel. Gas specifications'!A77)</f>
        <v>#REF!</v>
      </c>
      <c r="O97" s="43">
        <f t="shared" si="19"/>
        <v>56.229399999999998</v>
      </c>
      <c r="P97" s="44">
        <f t="shared" si="20"/>
        <v>424.31473720000002</v>
      </c>
      <c r="Q97" s="44" cm="1">
        <f t="array" ref="Q97">SUMPRODUCT(B97:L97/100,$B$7:$L$7)</f>
        <v>28.627474918000004</v>
      </c>
      <c r="R97" s="44">
        <f t="shared" si="21"/>
        <v>0.98851778031767967</v>
      </c>
      <c r="S97" s="44">
        <f t="shared" si="22"/>
        <v>472.95001404883573</v>
      </c>
      <c r="T97" s="44">
        <f t="shared" si="23"/>
        <v>470.22691669999989</v>
      </c>
      <c r="U97" s="44">
        <f t="shared" si="24"/>
        <v>7.5474492269971008E-2</v>
      </c>
      <c r="V97" s="45">
        <f t="shared" si="25"/>
        <v>5621.9621283735605</v>
      </c>
      <c r="W97" s="46">
        <f t="shared" si="26"/>
        <v>3.8427476223955797</v>
      </c>
      <c r="X97" s="47">
        <v>471.09500000000003</v>
      </c>
      <c r="Y97" s="46">
        <v>33.229999999999997</v>
      </c>
      <c r="Z97" s="47">
        <f>IF(Daily_fuel_gas_composition[[#This Row],[UCH 1 GCV]]&lt;400,0,(Daily_fuel_gas_composition[[#This Row],[UCH 1 GCV]]/(Daily_fuel_gas_composition[[#This Row],[HHV Calculated. 
(BTU/scf)]]/Daily_fuel_gas_composition[[#This Row],[LHV (BTU/scf)]]))/(0.997495*Daily_fuel_gas_composition[[#This Row],[Calculated Density
 (lb/scf)]]))</f>
        <v>5646.4852469866892</v>
      </c>
      <c r="AA97" s="63"/>
    </row>
    <row r="98" spans="1:27" s="33" customFormat="1" ht="16.2" customHeight="1" x14ac:dyDescent="0.25">
      <c r="A98" s="52">
        <v>46063</v>
      </c>
      <c r="B98" s="42">
        <v>0.15210000000000001</v>
      </c>
      <c r="C98" s="42">
        <v>22.5242</v>
      </c>
      <c r="D98" s="42">
        <v>41.886099999999999</v>
      </c>
      <c r="E98" s="42">
        <v>33.601900000000001</v>
      </c>
      <c r="F98" s="42">
        <v>1.1086</v>
      </c>
      <c r="G98" s="42">
        <v>0.3876</v>
      </c>
      <c r="H98" s="42">
        <v>0.1047</v>
      </c>
      <c r="I98" s="42">
        <v>0.1215</v>
      </c>
      <c r="J98" s="42">
        <v>6.7000000000000002E-3</v>
      </c>
      <c r="K98" s="42">
        <v>6.1899999999999997E-2</v>
      </c>
      <c r="L98" s="42">
        <v>4.4699999999999997E-2</v>
      </c>
      <c r="M98" s="48">
        <f t="shared" si="18"/>
        <v>67</v>
      </c>
      <c r="N98" s="43" t="e">
        <f>AVERAGEIFS(#REF!,#REF!,'Fuel. Gas specifications'!A78)</f>
        <v>#REF!</v>
      </c>
      <c r="O98" s="43">
        <f t="shared" si="19"/>
        <v>56.126100000000001</v>
      </c>
      <c r="P98" s="44">
        <f t="shared" si="20"/>
        <v>425.31335549999994</v>
      </c>
      <c r="Q98" s="44" cm="1">
        <f t="array" ref="Q98">SUMPRODUCT(B98:L98/100,$B$7:$L$7)</f>
        <v>28.663708053999997</v>
      </c>
      <c r="R98" s="44">
        <f t="shared" si="21"/>
        <v>0.9897689245165745</v>
      </c>
      <c r="S98" s="44">
        <f t="shared" si="22"/>
        <v>473.76296110970628</v>
      </c>
      <c r="T98" s="44">
        <f t="shared" si="23"/>
        <v>471.33317799999998</v>
      </c>
      <c r="U98" s="44">
        <f t="shared" si="24"/>
        <v>7.5570018597416286E-2</v>
      </c>
      <c r="V98" s="45">
        <f t="shared" si="25"/>
        <v>5628.070012338746</v>
      </c>
      <c r="W98" s="46">
        <f t="shared" si="26"/>
        <v>3.8428023899278592</v>
      </c>
      <c r="X98" s="47">
        <v>475.245</v>
      </c>
      <c r="Y98" s="46">
        <v>65.08</v>
      </c>
      <c r="Z98" s="47">
        <f>IF(Daily_fuel_gas_composition[[#This Row],[UCH 1 GCV]]&lt;400,0,(Daily_fuel_gas_composition[[#This Row],[UCH 1 GCV]]/(Daily_fuel_gas_composition[[#This Row],[HHV Calculated. 
(BTU/scf)]]/Daily_fuel_gas_composition[[#This Row],[LHV (BTU/scf)]]))/(0.997495*Daily_fuel_gas_composition[[#This Row],[Calculated Density
 (lb/scf)]]))</f>
        <v>5689.0311102645255</v>
      </c>
      <c r="AA98" s="63"/>
    </row>
    <row r="99" spans="1:27" s="33" customFormat="1" ht="16.2" customHeight="1" x14ac:dyDescent="0.25">
      <c r="A99" s="52">
        <v>46064</v>
      </c>
      <c r="B99" s="42">
        <v>0.14879999999999999</v>
      </c>
      <c r="C99" s="42">
        <v>22.622199999999999</v>
      </c>
      <c r="D99" s="42">
        <v>41.768999999999998</v>
      </c>
      <c r="E99" s="42">
        <v>33.625799999999998</v>
      </c>
      <c r="F99" s="42">
        <v>1.1100000000000001</v>
      </c>
      <c r="G99" s="42">
        <v>0.38519999999999999</v>
      </c>
      <c r="H99" s="42">
        <v>0.1041</v>
      </c>
      <c r="I99" s="42">
        <v>0.1217</v>
      </c>
      <c r="J99" s="42">
        <v>6.7999999999999996E-3</v>
      </c>
      <c r="K99" s="42">
        <v>6.1600000000000002E-2</v>
      </c>
      <c r="L99" s="42">
        <v>4.4900000000000002E-2</v>
      </c>
      <c r="M99" s="48">
        <f t="shared" si="18"/>
        <v>68</v>
      </c>
      <c r="N99" s="43" t="e">
        <f>AVERAGEIFS(#REF!,#REF!,'Fuel. Gas specifications'!A79)</f>
        <v>#REF!</v>
      </c>
      <c r="O99" s="43">
        <f t="shared" si="19"/>
        <v>56.247999999999998</v>
      </c>
      <c r="P99" s="44">
        <f t="shared" si="20"/>
        <v>424.05472564527435</v>
      </c>
      <c r="Q99" s="44" cm="1">
        <f t="array" ref="Q99">SUMPRODUCT(B99:L99/100,$B$7:$L$7)</f>
        <v>28.679141080000001</v>
      </c>
      <c r="R99" s="44">
        <f t="shared" si="21"/>
        <v>0.99030183287292817</v>
      </c>
      <c r="S99" s="44">
        <f t="shared" si="22"/>
        <v>472.236600577194</v>
      </c>
      <c r="T99" s="44">
        <f t="shared" si="23"/>
        <v>469.94110675889328</v>
      </c>
      <c r="U99" s="44">
        <f t="shared" si="24"/>
        <v>7.561070677563933E-2</v>
      </c>
      <c r="V99" s="45">
        <f t="shared" si="25"/>
        <v>5608.3952092073105</v>
      </c>
      <c r="W99" s="46">
        <f t="shared" si="26"/>
        <v>3.8432375387324602</v>
      </c>
      <c r="X99" s="47">
        <v>473.25200000000001</v>
      </c>
      <c r="Y99" s="46">
        <v>64.06</v>
      </c>
      <c r="Z99" s="47">
        <f>IF(Daily_fuel_gas_composition[[#This Row],[UCH 1 GCV]]&lt;400,0,(Daily_fuel_gas_composition[[#This Row],[UCH 1 GCV]]/(Daily_fuel_gas_composition[[#This Row],[HHV Calculated. 
(BTU/scf)]]/Daily_fuel_gas_composition[[#This Row],[LHV (BTU/scf)]]))/(0.997495*Daily_fuel_gas_composition[[#This Row],[Calculated Density
 (lb/scf)]]))</f>
        <v>5662.0917806969246</v>
      </c>
      <c r="AA99" s="63"/>
    </row>
    <row r="100" spans="1:27" s="33" customFormat="1" ht="16.2" customHeight="1" x14ac:dyDescent="0.25">
      <c r="A100" s="52">
        <v>46065</v>
      </c>
      <c r="B100" s="42">
        <v>0.1467</v>
      </c>
      <c r="C100" s="42">
        <v>22.698599999999999</v>
      </c>
      <c r="D100" s="42">
        <v>41.861499999999999</v>
      </c>
      <c r="E100" s="42">
        <v>33.458399999999997</v>
      </c>
      <c r="F100" s="42">
        <v>1.1087</v>
      </c>
      <c r="G100" s="42">
        <v>0.38669999999999999</v>
      </c>
      <c r="H100" s="42">
        <v>0.1045</v>
      </c>
      <c r="I100" s="42">
        <v>0.1217</v>
      </c>
      <c r="J100" s="42">
        <v>6.6E-3</v>
      </c>
      <c r="K100" s="42">
        <v>6.1800000000000001E-2</v>
      </c>
      <c r="L100" s="42">
        <v>4.4900000000000002E-2</v>
      </c>
      <c r="M100" s="48">
        <f t="shared" si="18"/>
        <v>66</v>
      </c>
      <c r="N100" s="43" t="e">
        <f>AVERAGEIFS(#REF!,#REF!,'Fuel. Gas specifications'!A80)</f>
        <v>#REF!</v>
      </c>
      <c r="O100" s="43">
        <f t="shared" si="19"/>
        <v>56.156999999999996</v>
      </c>
      <c r="P100" s="44">
        <f t="shared" si="20"/>
        <v>424.83534646465353</v>
      </c>
      <c r="Q100" s="44" cm="1">
        <f t="array" ref="Q100">SUMPRODUCT(B100:L100/100,$B$7:$L$7)</f>
        <v>28.640479507000002</v>
      </c>
      <c r="R100" s="44">
        <f t="shared" si="21"/>
        <v>0.98896683380524864</v>
      </c>
      <c r="S100" s="44">
        <f t="shared" si="22"/>
        <v>473.42890767415537</v>
      </c>
      <c r="T100" s="44">
        <f t="shared" si="23"/>
        <v>470.80995389004613</v>
      </c>
      <c r="U100" s="44">
        <f t="shared" si="24"/>
        <v>7.550877803058266E-2</v>
      </c>
      <c r="V100" s="45">
        <f t="shared" si="25"/>
        <v>5626.3040873550644</v>
      </c>
      <c r="W100" s="46">
        <f t="shared" si="26"/>
        <v>3.8437933028439257</v>
      </c>
      <c r="X100" s="47">
        <v>473.84100000000001</v>
      </c>
      <c r="Y100" s="46">
        <v>61.52</v>
      </c>
      <c r="Z100" s="47">
        <f>IF(Daily_fuel_gas_composition[[#This Row],[UCH 1 GCV]]&lt;400,0,(Daily_fuel_gas_composition[[#This Row],[UCH 1 GCV]]/(Daily_fuel_gas_composition[[#This Row],[HHV Calculated. 
(BTU/scf)]]/Daily_fuel_gas_composition[[#This Row],[LHV (BTU/scf)]]))/(0.997495*Daily_fuel_gas_composition[[#This Row],[Calculated Density
 (lb/scf)]]))</f>
        <v>5676.7461430907342</v>
      </c>
      <c r="AA100" s="63"/>
    </row>
    <row r="101" spans="1:27" s="33" customFormat="1" ht="16.2" customHeight="1" x14ac:dyDescent="0.25">
      <c r="A101" s="52">
        <v>46066</v>
      </c>
      <c r="B101" s="42">
        <v>0.15110000000000001</v>
      </c>
      <c r="C101" s="42">
        <v>22.6571</v>
      </c>
      <c r="D101" s="42">
        <v>41.907200000000003</v>
      </c>
      <c r="E101" s="42">
        <v>33.450600000000001</v>
      </c>
      <c r="F101" s="42">
        <v>1.1085</v>
      </c>
      <c r="G101" s="42">
        <v>0.38669999999999999</v>
      </c>
      <c r="H101" s="42">
        <v>0.1045</v>
      </c>
      <c r="I101" s="42">
        <v>0.1217</v>
      </c>
      <c r="J101" s="42">
        <v>6.0000000000000001E-3</v>
      </c>
      <c r="K101" s="42">
        <v>6.1800000000000001E-2</v>
      </c>
      <c r="L101" s="42">
        <v>4.48E-2</v>
      </c>
      <c r="M101" s="48">
        <f t="shared" si="18"/>
        <v>60</v>
      </c>
      <c r="N101" s="43" t="e">
        <f>AVERAGEIFS(#REF!,#REF!,'Fuel. Gas specifications'!A81)</f>
        <v>#REF!</v>
      </c>
      <c r="O101" s="43">
        <f t="shared" si="19"/>
        <v>56.107700000000001</v>
      </c>
      <c r="P101" s="44">
        <f t="shared" si="20"/>
        <v>425.43466919999997</v>
      </c>
      <c r="Q101" s="44" cm="1">
        <f t="array" ref="Q101">SUMPRODUCT(B101:L101/100,$B$7:$L$7)</f>
        <v>28.636208001</v>
      </c>
      <c r="R101" s="44">
        <f t="shared" si="21"/>
        <v>0.98881933705110492</v>
      </c>
      <c r="S101" s="44">
        <f t="shared" si="22"/>
        <v>474.1278659164438</v>
      </c>
      <c r="T101" s="44">
        <f t="shared" si="23"/>
        <v>471.46988360000012</v>
      </c>
      <c r="U101" s="44">
        <f t="shared" si="24"/>
        <v>7.5497516480358559E-2</v>
      </c>
      <c r="V101" s="45">
        <f t="shared" si="25"/>
        <v>5635.0816428601474</v>
      </c>
      <c r="W101" s="46">
        <f t="shared" si="26"/>
        <v>3.8431030030212883</v>
      </c>
      <c r="X101" s="47">
        <v>480.33499999999998</v>
      </c>
      <c r="Y101" s="46">
        <v>58.4</v>
      </c>
      <c r="Z101" s="47">
        <f>IF(Daily_fuel_gas_composition[[#This Row],[UCH 1 GCV]]&lt;400,0,(Daily_fuel_gas_composition[[#This Row],[UCH 1 GCV]]/(Daily_fuel_gas_composition[[#This Row],[HHV Calculated. 
(BTU/scf)]]/Daily_fuel_gas_composition[[#This Row],[LHV (BTU/scf)]]))/(0.997495*Daily_fuel_gas_composition[[#This Row],[Calculated Density
 (lb/scf)]]))</f>
        <v>5755.4563159443824</v>
      </c>
      <c r="AA101" s="63"/>
    </row>
    <row r="102" spans="1:27" s="33" customFormat="1" ht="16.2" customHeight="1" x14ac:dyDescent="0.25">
      <c r="A102" s="52">
        <v>46067</v>
      </c>
      <c r="B102" s="42">
        <v>0.14879999999999999</v>
      </c>
      <c r="C102" s="42">
        <v>22.973199999999999</v>
      </c>
      <c r="D102" s="42">
        <v>41.779899999999998</v>
      </c>
      <c r="E102" s="42">
        <v>33.288200000000003</v>
      </c>
      <c r="F102" s="42">
        <v>1.0909</v>
      </c>
      <c r="G102" s="42">
        <v>0.38400000000000001</v>
      </c>
      <c r="H102" s="42">
        <v>0.1038</v>
      </c>
      <c r="I102" s="42">
        <v>0.1203</v>
      </c>
      <c r="J102" s="42">
        <v>5.4999999999999997E-3</v>
      </c>
      <c r="K102" s="42">
        <v>6.13E-2</v>
      </c>
      <c r="L102" s="42">
        <v>4.41E-2</v>
      </c>
      <c r="M102" s="48">
        <f t="shared" si="18"/>
        <v>55</v>
      </c>
      <c r="N102" s="43" t="e">
        <f>AVERAGEIFS(#REF!,#REF!,'Fuel. Gas specifications'!A82)</f>
        <v>#REF!</v>
      </c>
      <c r="O102" s="43">
        <f t="shared" si="19"/>
        <v>56.261400000000002</v>
      </c>
      <c r="P102" s="44">
        <f t="shared" si="20"/>
        <v>423.71779079999988</v>
      </c>
      <c r="Q102" s="44" cm="1">
        <f t="array" ref="Q102">SUMPRODUCT(B102:L102/100,$B$7:$L$7)</f>
        <v>28.622140322</v>
      </c>
      <c r="R102" s="44">
        <f t="shared" si="21"/>
        <v>0.98833357465469607</v>
      </c>
      <c r="S102" s="44">
        <f t="shared" si="22"/>
        <v>472.339033044975</v>
      </c>
      <c r="T102" s="44">
        <f t="shared" si="23"/>
        <v>469.57569579999989</v>
      </c>
      <c r="U102" s="44">
        <f t="shared" si="24"/>
        <v>7.5460427951489578E-2</v>
      </c>
      <c r="V102" s="45">
        <f t="shared" si="25"/>
        <v>5615.0992288619236</v>
      </c>
      <c r="W102" s="46">
        <f t="shared" si="26"/>
        <v>3.8443471312399984</v>
      </c>
      <c r="X102" s="47">
        <v>473.83499999999998</v>
      </c>
      <c r="Y102" s="46">
        <v>55.43</v>
      </c>
      <c r="Z102" s="47">
        <f>IF(Daily_fuel_gas_composition[[#This Row],[UCH 1 GCV]]&lt;400,0,(Daily_fuel_gas_composition[[#This Row],[UCH 1 GCV]]/(Daily_fuel_gas_composition[[#This Row],[HHV Calculated. 
(BTU/scf)]]/Daily_fuel_gas_composition[[#This Row],[LHV (BTU/scf)]]))/(0.997495*Daily_fuel_gas_composition[[#This Row],[Calculated Density
 (lb/scf)]]))</f>
        <v>5680.2602518099966</v>
      </c>
      <c r="AA102" s="63"/>
    </row>
    <row r="103" spans="1:27" s="33" customFormat="1" ht="16.2" customHeight="1" x14ac:dyDescent="0.25">
      <c r="A103" s="52">
        <v>46068</v>
      </c>
      <c r="B103" s="42">
        <v>0.1515</v>
      </c>
      <c r="C103" s="42">
        <v>22.6995</v>
      </c>
      <c r="D103" s="42">
        <v>41.994100000000003</v>
      </c>
      <c r="E103" s="42">
        <v>33.328800000000001</v>
      </c>
      <c r="F103" s="42">
        <v>1.0998000000000001</v>
      </c>
      <c r="G103" s="42">
        <v>0.38850000000000001</v>
      </c>
      <c r="H103" s="42">
        <v>0.10489999999999999</v>
      </c>
      <c r="I103" s="42">
        <v>0.1208</v>
      </c>
      <c r="J103" s="42">
        <v>6.1999999999999998E-3</v>
      </c>
      <c r="K103" s="42">
        <v>6.1899999999999997E-2</v>
      </c>
      <c r="L103" s="42">
        <v>4.3999999999999997E-2</v>
      </c>
      <c r="M103" s="48">
        <f t="shared" si="18"/>
        <v>62</v>
      </c>
      <c r="N103" s="43" t="e">
        <f>AVERAGEIFS(#REF!,#REF!,'Fuel. Gas specifications'!A83)</f>
        <v>#REF!</v>
      </c>
      <c r="O103" s="43">
        <f t="shared" si="19"/>
        <v>56.028300000000002</v>
      </c>
      <c r="P103" s="44">
        <f t="shared" si="20"/>
        <v>426.10351610000004</v>
      </c>
      <c r="Q103" s="44" cm="1">
        <f t="array" ref="Q103">SUMPRODUCT(B103:L103/100,$B$7:$L$7)</f>
        <v>28.606217559000001</v>
      </c>
      <c r="R103" s="44">
        <f t="shared" si="21"/>
        <v>0.98778375549033148</v>
      </c>
      <c r="S103" s="44">
        <f t="shared" si="22"/>
        <v>475.12582706516451</v>
      </c>
      <c r="T103" s="44">
        <f t="shared" si="23"/>
        <v>472.21478260000004</v>
      </c>
      <c r="U103" s="44">
        <f t="shared" si="24"/>
        <v>7.5418448613234906E-2</v>
      </c>
      <c r="V103" s="45">
        <f t="shared" si="25"/>
        <v>5649.8578787422139</v>
      </c>
      <c r="W103" s="46">
        <f t="shared" si="26"/>
        <v>3.8436578232932583</v>
      </c>
      <c r="X103" s="47">
        <v>476.59100000000001</v>
      </c>
      <c r="Y103" s="46">
        <v>55.97</v>
      </c>
      <c r="Z103" s="47">
        <f>IF(Daily_fuel_gas_composition[[#This Row],[UCH 1 GCV]]&lt;400,0,(Daily_fuel_gas_composition[[#This Row],[UCH 1 GCV]]/(Daily_fuel_gas_composition[[#This Row],[HHV Calculated. 
(BTU/scf)]]/Daily_fuel_gas_composition[[#This Row],[LHV (BTU/scf)]]))/(0.997495*Daily_fuel_gas_composition[[#This Row],[Calculated Density
 (lb/scf)]]))</f>
        <v>5716.5374669871917</v>
      </c>
      <c r="AA103" s="63"/>
    </row>
    <row r="104" spans="1:27" s="33" customFormat="1" ht="16.2" customHeight="1" x14ac:dyDescent="0.25">
      <c r="A104" s="55">
        <v>46069</v>
      </c>
      <c r="B104" s="56">
        <v>0.16520000000000001</v>
      </c>
      <c r="C104" s="56">
        <v>22.8339</v>
      </c>
      <c r="D104" s="56">
        <v>41.822099999999999</v>
      </c>
      <c r="E104" s="56">
        <v>33.379100000000001</v>
      </c>
      <c r="F104" s="56">
        <v>1.0774999999999999</v>
      </c>
      <c r="G104" s="56">
        <v>0.3871</v>
      </c>
      <c r="H104" s="56">
        <v>0.1048</v>
      </c>
      <c r="I104" s="56">
        <v>0.1195</v>
      </c>
      <c r="J104" s="56">
        <v>5.1000000000000004E-3</v>
      </c>
      <c r="K104" s="56">
        <v>6.2E-2</v>
      </c>
      <c r="L104" s="56">
        <v>4.3700000000000003E-2</v>
      </c>
      <c r="M104" s="58">
        <f t="shared" si="18"/>
        <v>51.000000000000007</v>
      </c>
      <c r="N104" s="57" t="e">
        <f>AVERAGEIFS(#REF!,#REF!,'Fuel. Gas specifications'!A84)</f>
        <v>#REF!</v>
      </c>
      <c r="O104" s="43">
        <f t="shared" si="19"/>
        <v>56.213000000000001</v>
      </c>
      <c r="P104" s="44">
        <f t="shared" si="20"/>
        <v>424.69327270000002</v>
      </c>
      <c r="Q104" s="44" cm="1">
        <f t="array" ref="Q104">SUMPRODUCT(B104:L104/100,$B$7:$L$7)</f>
        <v>28.641560479999999</v>
      </c>
      <c r="R104" s="44">
        <f t="shared" si="21"/>
        <v>0.98900416022099447</v>
      </c>
      <c r="S104" s="44">
        <f t="shared" si="22"/>
        <v>473.24766882485187</v>
      </c>
      <c r="T104" s="44">
        <f t="shared" si="23"/>
        <v>470.63859899999994</v>
      </c>
      <c r="U104" s="44">
        <f t="shared" si="24"/>
        <v>7.5511627946216714E-2</v>
      </c>
      <c r="V104" s="45">
        <f t="shared" si="25"/>
        <v>5624.2102607361148</v>
      </c>
      <c r="W104" s="46">
        <f t="shared" si="26"/>
        <v>3.8415192418090101</v>
      </c>
      <c r="X104" s="47">
        <v>475.74099999999999</v>
      </c>
      <c r="Y104" s="46">
        <v>51.75</v>
      </c>
      <c r="Z104" s="47">
        <f>IF(Daily_fuel_gas_composition[[#This Row],[UCH 1 GCV]]&lt;400,0,(Daily_fuel_gas_composition[[#This Row],[UCH 1 GCV]]/(Daily_fuel_gas_composition[[#This Row],[HHV Calculated. 
(BTU/scf)]]/Daily_fuel_gas_composition[[#This Row],[LHV (BTU/scf)]]))/(0.997495*Daily_fuel_gas_composition[[#This Row],[Calculated Density
 (lb/scf)]]))</f>
        <v>5699.4619614024559</v>
      </c>
      <c r="AA104" s="63"/>
    </row>
    <row r="105" spans="1:27" ht="18" customHeight="1" x14ac:dyDescent="0.25">
      <c r="A105" s="52">
        <v>46070</v>
      </c>
      <c r="B105" s="42">
        <v>0.15479999999999999</v>
      </c>
      <c r="C105" s="42">
        <v>22.8734</v>
      </c>
      <c r="D105" s="42">
        <v>41.734499999999997</v>
      </c>
      <c r="E105" s="42">
        <v>33.442</v>
      </c>
      <c r="F105" s="42">
        <v>1.0753999999999999</v>
      </c>
      <c r="G105" s="42">
        <v>0.38640000000000002</v>
      </c>
      <c r="H105" s="42">
        <v>0.1043</v>
      </c>
      <c r="I105" s="42">
        <v>0.1191</v>
      </c>
      <c r="J105" s="42">
        <v>5.1999999999999998E-3</v>
      </c>
      <c r="K105" s="42">
        <v>6.1600000000000002E-2</v>
      </c>
      <c r="L105" s="42">
        <v>4.3400000000000001E-2</v>
      </c>
      <c r="M105" s="48">
        <f t="shared" si="18"/>
        <v>52</v>
      </c>
      <c r="N105" s="43" t="e">
        <f>AVERAGEIFS(#REF!,#REF!,'Fuel. Gas specifications'!A85)</f>
        <v>#REF!</v>
      </c>
      <c r="O105" s="43">
        <f t="shared" si="19"/>
        <v>56.315399999999997</v>
      </c>
      <c r="P105" s="44">
        <f t="shared" si="20"/>
        <v>423.33564766435228</v>
      </c>
      <c r="Q105" s="44" cm="1">
        <f t="array" ref="Q105">SUMPRODUCT(B105:L105/100,$B$7:$L$7)</f>
        <v>28.655357602999999</v>
      </c>
      <c r="R105" s="44">
        <f t="shared" si="21"/>
        <v>0.98948058021408836</v>
      </c>
      <c r="S105" s="44">
        <f t="shared" si="22"/>
        <v>471.63449901113239</v>
      </c>
      <c r="T105" s="44">
        <f t="shared" si="23"/>
        <v>469.14728005271979</v>
      </c>
      <c r="U105" s="44">
        <f t="shared" si="24"/>
        <v>7.5548003171631947E-2</v>
      </c>
      <c r="V105" s="45">
        <f t="shared" si="25"/>
        <v>5603.5319252926802</v>
      </c>
      <c r="W105" s="46">
        <f t="shared" si="26"/>
        <v>3.8435513241714307</v>
      </c>
      <c r="X105" s="47">
        <v>473.30799999999999</v>
      </c>
      <c r="Y105" s="46">
        <v>38.89</v>
      </c>
      <c r="Z105" s="47">
        <f>IF(Daily_fuel_gas_composition[[#This Row],[UCH 1 GCV]]&lt;400,0,(Daily_fuel_gas_composition[[#This Row],[UCH 1 GCV]]/(Daily_fuel_gas_composition[[#This Row],[HHV Calculated. 
(BTU/scf)]]/Daily_fuel_gas_composition[[#This Row],[LHV (BTU/scf)]]))/(0.997495*Daily_fuel_gas_composition[[#This Row],[Calculated Density
 (lb/scf)]]))</f>
        <v>5667.4247899188549</v>
      </c>
      <c r="AA105" s="63"/>
    </row>
    <row r="106" spans="1:27" ht="18" customHeight="1" x14ac:dyDescent="0.25">
      <c r="A106" s="52">
        <v>46071</v>
      </c>
      <c r="B106" s="42">
        <v>0.15720000000000001</v>
      </c>
      <c r="C106" s="42">
        <v>23.3565</v>
      </c>
      <c r="D106" s="42">
        <v>41.741300000000003</v>
      </c>
      <c r="E106" s="42">
        <v>32.963099999999997</v>
      </c>
      <c r="F106" s="42">
        <v>1.0637000000000001</v>
      </c>
      <c r="G106" s="42">
        <v>0.38469999999999999</v>
      </c>
      <c r="H106" s="42">
        <v>0.1045</v>
      </c>
      <c r="I106" s="42">
        <v>0.1191</v>
      </c>
      <c r="J106" s="42">
        <v>4.8999999999999998E-3</v>
      </c>
      <c r="K106" s="42">
        <v>6.1600000000000002E-2</v>
      </c>
      <c r="L106" s="42">
        <v>4.3499999999999997E-2</v>
      </c>
      <c r="M106" s="48">
        <f t="shared" ref="M106:M124" si="27">J106*10000</f>
        <v>49</v>
      </c>
      <c r="N106" s="43" t="e">
        <f>AVERAGEIFS(#REF!,#REF!,'Fuel. Gas specifications'!A86)</f>
        <v>#REF!</v>
      </c>
      <c r="O106" s="43">
        <f t="shared" ref="O106:O125" si="28">SUM(C106,E106)</f>
        <v>56.319599999999994</v>
      </c>
      <c r="P106" s="44">
        <f t="shared" ref="P106:P124" si="29">SUMPRODUCT($B$6:$L$6,B106:L106)/SUM(B106:L106)</f>
        <v>423.2823842176158</v>
      </c>
      <c r="Q106" s="44" cm="1">
        <f t="array" ref="Q106">SUMPRODUCT(B106:L106/100,$B$7:$L$7)</f>
        <v>28.578902004999996</v>
      </c>
      <c r="R106" s="44">
        <f t="shared" ref="R106:R125" si="30">Q106/28.96</f>
        <v>0.98684053884668488</v>
      </c>
      <c r="S106" s="44">
        <f t="shared" ref="S106:S125" si="31">T106/SQRT(R106)</f>
        <v>472.20616494297917</v>
      </c>
      <c r="T106" s="44">
        <f t="shared" ref="T106:T125" si="32">SUMPRODUCT($B$5:$L$5,B106:L106)/SUM(B106:L106)</f>
        <v>469.08888621111385</v>
      </c>
      <c r="U106" s="44">
        <f t="shared" ref="U106:U125" si="33">Q106/379.3</f>
        <v>7.5346432915897696E-2</v>
      </c>
      <c r="V106" s="45">
        <f t="shared" ref="V106:V125" si="34">P106/U106</f>
        <v>5617.8158386089362</v>
      </c>
      <c r="W106" s="46">
        <f t="shared" ref="W106:W125" si="35">SUMPRODUCT($B$4:$L$4, B106:L106) / (SUMPRODUCT($B$3:$L$3, B106:L106) - E106)</f>
        <v>3.8436074866152161</v>
      </c>
      <c r="X106" s="47">
        <v>473.923</v>
      </c>
      <c r="Y106" s="46">
        <v>31.81</v>
      </c>
      <c r="Z106" s="47">
        <f>IF(Daily_fuel_gas_composition[[#This Row],[UCH 1 GCV]]&lt;400,0,(Daily_fuel_gas_composition[[#This Row],[UCH 1 GCV]]/(Daily_fuel_gas_composition[[#This Row],[HHV Calculated. 
(BTU/scf)]]/Daily_fuel_gas_composition[[#This Row],[LHV (BTU/scf)]]))/(0.997495*Daily_fuel_gas_composition[[#This Row],[Calculated Density
 (lb/scf)]]))</f>
        <v>5689.9626173147381</v>
      </c>
      <c r="AA106" s="63"/>
    </row>
    <row r="107" spans="1:27" ht="18" customHeight="1" x14ac:dyDescent="0.25">
      <c r="A107" s="52">
        <v>46072</v>
      </c>
      <c r="B107" s="42">
        <v>0.15770000000000001</v>
      </c>
      <c r="C107" s="42">
        <v>23.315999999999999</v>
      </c>
      <c r="D107" s="42">
        <v>41.487000000000002</v>
      </c>
      <c r="E107" s="42">
        <v>33.258299999999998</v>
      </c>
      <c r="F107" s="42">
        <v>1.0570999999999999</v>
      </c>
      <c r="G107" s="42">
        <v>0.3896</v>
      </c>
      <c r="H107" s="42">
        <v>0.10539999999999999</v>
      </c>
      <c r="I107" s="42">
        <v>0.1187</v>
      </c>
      <c r="J107" s="42">
        <v>5.0000000000000001E-3</v>
      </c>
      <c r="K107" s="42">
        <v>6.2199999999999998E-2</v>
      </c>
      <c r="L107" s="42">
        <v>4.3299999999999998E-2</v>
      </c>
      <c r="M107" s="48">
        <f t="shared" si="27"/>
        <v>50</v>
      </c>
      <c r="N107" s="43" t="e">
        <f>AVERAGEIFS(#REF!,#REF!,'Fuel. Gas specifications'!A87)</f>
        <v>#REF!</v>
      </c>
      <c r="O107" s="43">
        <f t="shared" si="28"/>
        <v>56.574299999999994</v>
      </c>
      <c r="P107" s="44">
        <f t="shared" si="29"/>
        <v>421.02788251635246</v>
      </c>
      <c r="Q107" s="44" cm="1">
        <f t="array" ref="Q107">SUMPRODUCT(B107:L107/100,$B$7:$L$7)</f>
        <v>28.657897224000003</v>
      </c>
      <c r="R107" s="44">
        <f t="shared" si="30"/>
        <v>0.98956827430939232</v>
      </c>
      <c r="S107" s="44">
        <f t="shared" si="31"/>
        <v>469.03548129637682</v>
      </c>
      <c r="T107" s="44">
        <f t="shared" si="32"/>
        <v>466.58264295207101</v>
      </c>
      <c r="U107" s="44">
        <f t="shared" si="33"/>
        <v>7.5554698718692331E-2</v>
      </c>
      <c r="V107" s="45">
        <f t="shared" si="34"/>
        <v>5572.4910516013961</v>
      </c>
      <c r="W107" s="46">
        <f t="shared" si="35"/>
        <v>3.8424229053396157</v>
      </c>
      <c r="X107" s="47">
        <v>476.108</v>
      </c>
      <c r="Y107" s="46">
        <v>50.66</v>
      </c>
      <c r="Z107" s="47">
        <f>IF(Daily_fuel_gas_composition[[#This Row],[UCH 1 GCV]]&lt;400,0,(Daily_fuel_gas_composition[[#This Row],[UCH 1 GCV]]/(Daily_fuel_gas_composition[[#This Row],[HHV Calculated. 
(BTU/scf)]]/Daily_fuel_gas_composition[[#This Row],[LHV (BTU/scf)]]))/(0.997495*Daily_fuel_gas_composition[[#This Row],[Calculated Density
 (lb/scf)]]))</f>
        <v>5700.5341590814078</v>
      </c>
      <c r="AA107" s="63"/>
    </row>
    <row r="108" spans="1:27" ht="18" customHeight="1" x14ac:dyDescent="0.25">
      <c r="A108" s="52">
        <v>46073</v>
      </c>
      <c r="B108" s="42">
        <v>0.15590000000000001</v>
      </c>
      <c r="C108" s="42">
        <v>23.343900000000001</v>
      </c>
      <c r="D108" s="42">
        <v>40.787700000000001</v>
      </c>
      <c r="E108" s="42">
        <v>33.920999999999999</v>
      </c>
      <c r="F108" s="42">
        <v>1.0669</v>
      </c>
      <c r="G108" s="42">
        <v>0.3896</v>
      </c>
      <c r="H108" s="42">
        <v>0.1051</v>
      </c>
      <c r="I108" s="42">
        <v>0.11899999999999999</v>
      </c>
      <c r="J108" s="42">
        <v>5.3E-3</v>
      </c>
      <c r="K108" s="42">
        <v>6.2100000000000002E-2</v>
      </c>
      <c r="L108" s="42">
        <v>4.3299999999999998E-2</v>
      </c>
      <c r="M108" s="48">
        <f t="shared" si="27"/>
        <v>53</v>
      </c>
      <c r="N108" s="43" t="e">
        <f>AVERAGEIFS(#REF!,#REF!,'Fuel. Gas specifications'!A88)</f>
        <v>#REF!</v>
      </c>
      <c r="O108" s="43">
        <f t="shared" si="28"/>
        <v>57.264899999999997</v>
      </c>
      <c r="P108" s="44">
        <f t="shared" si="29"/>
        <v>414.74799769599542</v>
      </c>
      <c r="Q108" s="44" cm="1">
        <f t="array" ref="Q108">SUMPRODUCT(B108:L108/100,$B$7:$L$7)</f>
        <v>28.846604185999997</v>
      </c>
      <c r="R108" s="44">
        <f t="shared" si="30"/>
        <v>0.99608439868784515</v>
      </c>
      <c r="S108" s="44">
        <f t="shared" si="31"/>
        <v>460.51025970036522</v>
      </c>
      <c r="T108" s="44">
        <f t="shared" si="32"/>
        <v>459.60778811557617</v>
      </c>
      <c r="U108" s="44">
        <f t="shared" si="33"/>
        <v>7.6052212459794349E-2</v>
      </c>
      <c r="V108" s="45">
        <f t="shared" si="34"/>
        <v>5453.4639332847219</v>
      </c>
      <c r="W108" s="46">
        <f t="shared" si="35"/>
        <v>3.8400744040250507</v>
      </c>
      <c r="X108" s="47">
        <v>474.45499999999998</v>
      </c>
      <c r="Y108" s="46">
        <v>49.48</v>
      </c>
      <c r="Z108" s="47">
        <f>IF(Daily_fuel_gas_composition[[#This Row],[UCH 1 GCV]]&lt;400,0,(Daily_fuel_gas_composition[[#This Row],[UCH 1 GCV]]/(Daily_fuel_gas_composition[[#This Row],[HHV Calculated. 
(BTU/scf)]]/Daily_fuel_gas_composition[[#This Row],[LHV (BTU/scf)]]))/(0.997495*Daily_fuel_gas_composition[[#This Row],[Calculated Density
 (lb/scf)]]))</f>
        <v>5643.7707751065682</v>
      </c>
      <c r="AA108" s="63"/>
    </row>
    <row r="109" spans="1:27" ht="18" customHeight="1" x14ac:dyDescent="0.25">
      <c r="A109" s="52">
        <v>46074</v>
      </c>
      <c r="B109" s="42">
        <v>0.16270000000000001</v>
      </c>
      <c r="C109" s="42">
        <v>22.968900000000001</v>
      </c>
      <c r="D109" s="42">
        <v>40.283000000000001</v>
      </c>
      <c r="E109" s="42">
        <v>34.799199999999999</v>
      </c>
      <c r="F109" s="42">
        <v>1.0497000000000001</v>
      </c>
      <c r="G109" s="42">
        <v>0.39829999999999999</v>
      </c>
      <c r="H109" s="42">
        <v>0.108</v>
      </c>
      <c r="I109" s="42">
        <v>0.11890000000000001</v>
      </c>
      <c r="J109" s="42">
        <v>4.1999999999999997E-3</v>
      </c>
      <c r="K109" s="42">
        <v>6.3700000000000007E-2</v>
      </c>
      <c r="L109" s="42">
        <v>4.3400000000000001E-2</v>
      </c>
      <c r="M109" s="48">
        <f t="shared" si="27"/>
        <v>42</v>
      </c>
      <c r="N109" s="43" t="e">
        <f>AVERAGEIFS(#REF!,#REF!,'Fuel. Gas specifications'!A89)</f>
        <v>#REF!</v>
      </c>
      <c r="O109" s="43">
        <f t="shared" si="28"/>
        <v>57.768100000000004</v>
      </c>
      <c r="P109" s="44">
        <f t="shared" si="29"/>
        <v>410.52030159999998</v>
      </c>
      <c r="Q109" s="44" cm="1">
        <f t="array" ref="Q109">SUMPRODUCT(B109:L109/100,$B$7:$L$7)</f>
        <v>29.054085783999998</v>
      </c>
      <c r="R109" s="44">
        <f t="shared" si="30"/>
        <v>1.0032488185082873</v>
      </c>
      <c r="S109" s="44">
        <f t="shared" si="31"/>
        <v>454.16224048248705</v>
      </c>
      <c r="T109" s="44">
        <f t="shared" si="32"/>
        <v>454.8993875999999</v>
      </c>
      <c r="U109" s="44">
        <f t="shared" si="33"/>
        <v>7.6599224318481401E-2</v>
      </c>
      <c r="V109" s="45">
        <f t="shared" si="34"/>
        <v>5359.3271374805827</v>
      </c>
      <c r="W109" s="46">
        <f t="shared" si="35"/>
        <v>3.8363052921302869</v>
      </c>
      <c r="X109" s="47">
        <v>470.81900000000002</v>
      </c>
      <c r="Y109" s="46">
        <v>27.02</v>
      </c>
      <c r="Z109" s="47">
        <f>IF(Daily_fuel_gas_composition[[#This Row],[UCH 1 GCV]]&lt;400,0,(Daily_fuel_gas_composition[[#This Row],[UCH 1 GCV]]/(Daily_fuel_gas_composition[[#This Row],[HHV Calculated. 
(BTU/scf)]]/Daily_fuel_gas_composition[[#This Row],[LHV (BTU/scf)]]))/(0.997495*Daily_fuel_gas_composition[[#This Row],[Calculated Density
 (lb/scf)]]))</f>
        <v>5560.8114339869699</v>
      </c>
      <c r="AA109" s="63"/>
    </row>
    <row r="110" spans="1:27" ht="18" customHeight="1" x14ac:dyDescent="0.25">
      <c r="A110" s="52">
        <v>46075</v>
      </c>
      <c r="B110" s="42">
        <v>0.1535</v>
      </c>
      <c r="C110" s="42">
        <v>23.4025</v>
      </c>
      <c r="D110" s="42">
        <v>41.597099999999998</v>
      </c>
      <c r="E110" s="42">
        <v>33.066400000000002</v>
      </c>
      <c r="F110" s="42">
        <v>1.0658000000000001</v>
      </c>
      <c r="G110" s="42">
        <v>0.3836</v>
      </c>
      <c r="H110" s="42">
        <v>0.1038</v>
      </c>
      <c r="I110" s="42">
        <v>0.1187</v>
      </c>
      <c r="J110" s="42">
        <v>4.0000000000000001E-3</v>
      </c>
      <c r="K110" s="42">
        <v>6.13E-2</v>
      </c>
      <c r="L110" s="42">
        <v>4.3200000000000002E-2</v>
      </c>
      <c r="M110" s="48">
        <f t="shared" si="27"/>
        <v>40</v>
      </c>
      <c r="N110" s="43" t="e">
        <f>AVERAGEIFS(#REF!,#REF!,'Fuel. Gas specifications'!A90)</f>
        <v>#REF!</v>
      </c>
      <c r="O110" s="43">
        <f t="shared" si="28"/>
        <v>56.468900000000005</v>
      </c>
      <c r="P110" s="44">
        <f t="shared" si="29"/>
        <v>421.75691775691763</v>
      </c>
      <c r="Q110" s="44" cm="1">
        <f t="array" ref="Q110">SUMPRODUCT(B110:L110/100,$B$7:$L$7)</f>
        <v>28.609695190000004</v>
      </c>
      <c r="R110" s="44">
        <f t="shared" si="30"/>
        <v>0.98790383943370175</v>
      </c>
      <c r="S110" s="44">
        <f t="shared" si="31"/>
        <v>470.25413103173781</v>
      </c>
      <c r="T110" s="44">
        <f t="shared" si="32"/>
        <v>467.401343101343</v>
      </c>
      <c r="U110" s="44">
        <f t="shared" si="33"/>
        <v>7.5427617163195362E-2</v>
      </c>
      <c r="V110" s="45">
        <f t="shared" si="34"/>
        <v>5591.5450284529525</v>
      </c>
      <c r="W110" s="46">
        <f t="shared" si="35"/>
        <v>3.8440260097854422</v>
      </c>
      <c r="X110" s="47">
        <v>473.59</v>
      </c>
      <c r="Y110" s="46">
        <v>12.1</v>
      </c>
      <c r="Z110" s="47">
        <f>IF(Daily_fuel_gas_composition[[#This Row],[UCH 1 GCV]]&lt;400,0,(Daily_fuel_gas_composition[[#This Row],[UCH 1 GCV]]/(Daily_fuel_gas_composition[[#This Row],[HHV Calculated. 
(BTU/scf)]]/Daily_fuel_gas_composition[[#This Row],[LHV (BTU/scf)]]))/(0.997495*Daily_fuel_gas_composition[[#This Row],[Calculated Density
 (lb/scf)]]))</f>
        <v>5679.8081517191895</v>
      </c>
      <c r="AA110" s="63"/>
    </row>
    <row r="111" spans="1:27" ht="18" customHeight="1" x14ac:dyDescent="0.25">
      <c r="A111" s="52">
        <v>46076</v>
      </c>
      <c r="B111" s="42">
        <v>0.1555</v>
      </c>
      <c r="C111" s="42">
        <v>23.346499999999999</v>
      </c>
      <c r="D111" s="42">
        <v>41.668900000000001</v>
      </c>
      <c r="E111" s="42">
        <v>33.050199999999997</v>
      </c>
      <c r="F111" s="42">
        <v>1.0660000000000001</v>
      </c>
      <c r="G111" s="42">
        <v>0.3826</v>
      </c>
      <c r="H111" s="42">
        <v>0.104</v>
      </c>
      <c r="I111" s="42">
        <v>0.1186</v>
      </c>
      <c r="J111" s="42">
        <v>3.3E-3</v>
      </c>
      <c r="K111" s="42">
        <v>6.13E-2</v>
      </c>
      <c r="L111" s="42">
        <v>4.3200000000000002E-2</v>
      </c>
      <c r="M111" s="48">
        <f t="shared" si="27"/>
        <v>33</v>
      </c>
      <c r="N111" s="43" t="e">
        <f>AVERAGEIFS(#REF!,#REF!,'Fuel. Gas specifications'!A91)</f>
        <v>#REF!</v>
      </c>
      <c r="O111" s="43">
        <f t="shared" si="28"/>
        <v>56.396699999999996</v>
      </c>
      <c r="P111" s="44">
        <f t="shared" si="29"/>
        <v>422.47606952393039</v>
      </c>
      <c r="Q111" s="44" cm="1">
        <f t="array" ref="Q111">SUMPRODUCT(B111:L111/100,$B$7:$L$7)</f>
        <v>28.599559436999996</v>
      </c>
      <c r="R111" s="44">
        <f t="shared" si="30"/>
        <v>0.98755384796270707</v>
      </c>
      <c r="S111" s="44">
        <f t="shared" si="31"/>
        <v>471.13897922582618</v>
      </c>
      <c r="T111" s="44">
        <f t="shared" si="32"/>
        <v>468.1978655021345</v>
      </c>
      <c r="U111" s="44">
        <f t="shared" si="33"/>
        <v>7.5400894903770097E-2</v>
      </c>
      <c r="V111" s="45">
        <f t="shared" si="34"/>
        <v>5603.0643941708213</v>
      </c>
      <c r="W111" s="46">
        <f t="shared" si="35"/>
        <v>3.8439060696147136</v>
      </c>
      <c r="X111" s="47">
        <v>473.673</v>
      </c>
      <c r="Y111" s="46">
        <v>33.61</v>
      </c>
      <c r="Z111" s="47">
        <f>IF(Daily_fuel_gas_composition[[#This Row],[UCH 1 GCV]]&lt;400,0,(Daily_fuel_gas_composition[[#This Row],[UCH 1 GCV]]/(Daily_fuel_gas_composition[[#This Row],[HHV Calculated. 
(BTU/scf)]]/Daily_fuel_gas_composition[[#This Row],[LHV (BTU/scf)]]))/(0.997495*Daily_fuel_gas_composition[[#This Row],[Calculated Density
 (lb/scf)]]))</f>
        <v>5682.8224423814891</v>
      </c>
      <c r="AA111" s="63"/>
    </row>
    <row r="112" spans="1:27" ht="18" customHeight="1" x14ac:dyDescent="0.25">
      <c r="A112" s="52">
        <v>46077</v>
      </c>
      <c r="B112" s="42">
        <v>0.16</v>
      </c>
      <c r="C112" s="42">
        <v>22.964099999999998</v>
      </c>
      <c r="D112" s="42">
        <v>41.825299999999999</v>
      </c>
      <c r="E112" s="42">
        <v>33.259700000000002</v>
      </c>
      <c r="F112" s="42">
        <v>1.0703</v>
      </c>
      <c r="G112" s="42">
        <v>0.3871</v>
      </c>
      <c r="H112" s="42">
        <v>0.1048</v>
      </c>
      <c r="I112" s="42">
        <v>0.1191</v>
      </c>
      <c r="J112" s="42">
        <v>4.1999999999999997E-3</v>
      </c>
      <c r="K112" s="42">
        <v>6.1899999999999997E-2</v>
      </c>
      <c r="L112" s="42">
        <v>4.3499999999999997E-2</v>
      </c>
      <c r="M112" s="48">
        <f t="shared" si="27"/>
        <v>42</v>
      </c>
      <c r="N112" s="43" t="e">
        <f>AVERAGEIFS(#REF!,#REF!,'Fuel. Gas specifications'!A92)</f>
        <v>#REF!</v>
      </c>
      <c r="O112" s="43">
        <f t="shared" si="28"/>
        <v>56.223799999999997</v>
      </c>
      <c r="P112" s="44">
        <f t="shared" si="29"/>
        <v>424.3483923</v>
      </c>
      <c r="Q112" s="44" cm="1">
        <f t="array" ref="Q112">SUMPRODUCT(B112:L112/100,$B$7:$L$7)</f>
        <v>28.618596935999999</v>
      </c>
      <c r="R112" s="44">
        <f t="shared" si="30"/>
        <v>0.98821122016574581</v>
      </c>
      <c r="S112" s="44">
        <f t="shared" si="31"/>
        <v>473.06207833948736</v>
      </c>
      <c r="T112" s="44">
        <f t="shared" si="32"/>
        <v>470.26539920000005</v>
      </c>
      <c r="U112" s="44">
        <f t="shared" si="33"/>
        <v>7.5451086042710253E-2</v>
      </c>
      <c r="V112" s="45">
        <f t="shared" si="34"/>
        <v>5624.1522098143296</v>
      </c>
      <c r="W112" s="46">
        <f t="shared" si="35"/>
        <v>3.8428282164942802</v>
      </c>
      <c r="X112" s="47">
        <v>476.05200000000002</v>
      </c>
      <c r="Y112" s="46">
        <v>46.13</v>
      </c>
      <c r="Z112" s="47">
        <f>IF(Daily_fuel_gas_composition[[#This Row],[UCH 1 GCV]]&lt;400,0,(Daily_fuel_gas_composition[[#This Row],[UCH 1 GCV]]/(Daily_fuel_gas_composition[[#This Row],[HHV Calculated. 
(BTU/scf)]]/Daily_fuel_gas_composition[[#This Row],[LHV (BTU/scf)]]))/(0.997495*Daily_fuel_gas_composition[[#This Row],[Calculated Density
 (lb/scf)]]))</f>
        <v>5707.6548996383535</v>
      </c>
      <c r="AA112" s="63"/>
    </row>
    <row r="113" spans="1:27" ht="18" customHeight="1" x14ac:dyDescent="0.25">
      <c r="A113" s="52">
        <v>46078</v>
      </c>
      <c r="B113" s="42">
        <v>0.17949999999999999</v>
      </c>
      <c r="C113" s="42">
        <v>22.119199999999999</v>
      </c>
      <c r="D113" s="42">
        <v>39.168500000000002</v>
      </c>
      <c r="E113" s="42">
        <v>36.658799999999999</v>
      </c>
      <c r="F113" s="42">
        <v>1.0891</v>
      </c>
      <c r="G113" s="42">
        <v>0.42730000000000001</v>
      </c>
      <c r="H113" s="42">
        <v>0.11600000000000001</v>
      </c>
      <c r="I113" s="42">
        <v>0.1236</v>
      </c>
      <c r="J113" s="42">
        <v>4.4000000000000003E-3</v>
      </c>
      <c r="K113" s="42">
        <v>6.83E-2</v>
      </c>
      <c r="L113" s="42">
        <v>4.53E-2</v>
      </c>
      <c r="M113" s="48">
        <f t="shared" si="27"/>
        <v>44</v>
      </c>
      <c r="N113" s="43" t="e">
        <f>AVERAGEIFS(#REF!,#REF!,'Fuel. Gas specifications'!A93)</f>
        <v>#REF!</v>
      </c>
      <c r="O113" s="43">
        <f t="shared" si="28"/>
        <v>58.777999999999999</v>
      </c>
      <c r="P113" s="44">
        <f t="shared" si="29"/>
        <v>403.05726409999994</v>
      </c>
      <c r="Q113" s="44" cm="1">
        <f t="array" ref="Q113">SUMPRODUCT(B113:L113/100,$B$7:$L$7)</f>
        <v>29.506923024999999</v>
      </c>
      <c r="R113" s="44">
        <f t="shared" si="30"/>
        <v>1.0188854635704419</v>
      </c>
      <c r="S113" s="44">
        <f t="shared" si="31"/>
        <v>442.38599138514661</v>
      </c>
      <c r="T113" s="44">
        <f t="shared" si="32"/>
        <v>446.54378500000007</v>
      </c>
      <c r="U113" s="44">
        <f t="shared" si="33"/>
        <v>7.7793100514104929E-2</v>
      </c>
      <c r="V113" s="45">
        <f t="shared" si="34"/>
        <v>5181.1441045073179</v>
      </c>
      <c r="W113" s="46">
        <f t="shared" si="35"/>
        <v>3.8226918995401489</v>
      </c>
      <c r="X113" s="47">
        <v>476.35300000000001</v>
      </c>
      <c r="Y113" s="46">
        <v>41.79</v>
      </c>
      <c r="Z113" s="47">
        <f>IF(Daily_fuel_gas_composition[[#This Row],[UCH 1 GCV]]&lt;400,0,(Daily_fuel_gas_composition[[#This Row],[UCH 1 GCV]]/(Daily_fuel_gas_composition[[#This Row],[HHV Calculated. 
(BTU/scf)]]/Daily_fuel_gas_composition[[#This Row],[LHV (BTU/scf)]]))/(0.997495*Daily_fuel_gas_composition[[#This Row],[Calculated Density
 (lb/scf)]]))</f>
        <v>5540.8934595660166</v>
      </c>
      <c r="AA113" s="63"/>
    </row>
    <row r="114" spans="1:27" ht="18" customHeight="1" x14ac:dyDescent="0.25">
      <c r="A114" s="52">
        <v>46079</v>
      </c>
      <c r="B114" s="42">
        <v>0.17860000000000001</v>
      </c>
      <c r="C114" s="42">
        <v>22.1205</v>
      </c>
      <c r="D114" s="42">
        <v>39.602699999999999</v>
      </c>
      <c r="E114" s="42">
        <v>36.234299999999998</v>
      </c>
      <c r="F114" s="42">
        <v>1.0882000000000001</v>
      </c>
      <c r="G114" s="42">
        <v>0.42320000000000002</v>
      </c>
      <c r="H114" s="42">
        <v>0.1129</v>
      </c>
      <c r="I114" s="42">
        <v>0.1226</v>
      </c>
      <c r="J114" s="42">
        <v>4.1000000000000003E-3</v>
      </c>
      <c r="K114" s="42">
        <v>6.7699999999999996E-2</v>
      </c>
      <c r="L114" s="42">
        <v>4.53E-2</v>
      </c>
      <c r="M114" s="48">
        <f t="shared" si="27"/>
        <v>41</v>
      </c>
      <c r="N114" s="43" t="e">
        <f>AVERAGEIFS(#REF!,#REF!,'Fuel. Gas specifications'!A94)</f>
        <v>#REF!</v>
      </c>
      <c r="O114" s="43">
        <f t="shared" si="28"/>
        <v>58.354799999999997</v>
      </c>
      <c r="P114" s="44">
        <f t="shared" si="29"/>
        <v>406.70928399071607</v>
      </c>
      <c r="Q114" s="44" cm="1">
        <f t="array" ref="Q114">SUMPRODUCT(B114:L114/100,$B$7:$L$7)</f>
        <v>29.38435106699999</v>
      </c>
      <c r="R114" s="44">
        <f t="shared" si="30"/>
        <v>1.0146530064571819</v>
      </c>
      <c r="S114" s="44">
        <f t="shared" si="31"/>
        <v>447.34198267961744</v>
      </c>
      <c r="T114" s="44">
        <f t="shared" si="32"/>
        <v>450.60751619248401</v>
      </c>
      <c r="U114" s="44">
        <f t="shared" si="33"/>
        <v>7.7469947447930371E-2</v>
      </c>
      <c r="V114" s="45">
        <f t="shared" si="34"/>
        <v>5249.8975072117646</v>
      </c>
      <c r="W114" s="46">
        <f t="shared" si="35"/>
        <v>3.8254553743044188</v>
      </c>
      <c r="X114" s="47">
        <v>476.04700000000003</v>
      </c>
      <c r="Y114" s="46">
        <v>38.700000000000003</v>
      </c>
      <c r="Z114" s="47">
        <f>IF(Daily_fuel_gas_composition[[#This Row],[UCH 1 GCV]]&lt;400,0,(Daily_fuel_gas_composition[[#This Row],[UCH 1 GCV]]/(Daily_fuel_gas_composition[[#This Row],[HHV Calculated. 
(BTU/scf)]]/Daily_fuel_gas_composition[[#This Row],[LHV (BTU/scf)]]))/(0.997495*Daily_fuel_gas_composition[[#This Row],[Calculated Density
 (lb/scf)]]))</f>
        <v>5560.2138920931393</v>
      </c>
      <c r="AA114" s="63"/>
    </row>
    <row r="115" spans="1:27" ht="18" customHeight="1" x14ac:dyDescent="0.25">
      <c r="A115" s="52">
        <v>46080</v>
      </c>
      <c r="B115" s="42">
        <v>0.16259999999999999</v>
      </c>
      <c r="C115" s="42">
        <v>23.039100000000001</v>
      </c>
      <c r="D115" s="42">
        <v>41.935000000000002</v>
      </c>
      <c r="E115" s="42">
        <v>33.058</v>
      </c>
      <c r="F115" s="42">
        <v>1.0811999999999999</v>
      </c>
      <c r="G115" s="42">
        <v>0.38879999999999998</v>
      </c>
      <c r="H115" s="42">
        <v>0.10539999999999999</v>
      </c>
      <c r="I115" s="42">
        <v>0.1202</v>
      </c>
      <c r="J115" s="42">
        <v>3.5999999999999999E-3</v>
      </c>
      <c r="K115" s="42">
        <v>6.2300000000000001E-2</v>
      </c>
      <c r="L115" s="42">
        <v>4.3900000000000002E-2</v>
      </c>
      <c r="M115" s="48">
        <f t="shared" si="27"/>
        <v>36</v>
      </c>
      <c r="N115" s="43" t="e">
        <f>AVERAGEIFS(#REF!,#REF!,'Fuel. Gas specifications'!#REF!)</f>
        <v>#REF!</v>
      </c>
      <c r="O115" s="43">
        <f t="shared" si="28"/>
        <v>56.097099999999998</v>
      </c>
      <c r="P115" s="44">
        <f t="shared" si="29"/>
        <v>425.75309274690721</v>
      </c>
      <c r="Q115" s="44" cm="1">
        <f t="array" ref="Q115">SUMPRODUCT(B115:L115/100,$B$7:$L$7)</f>
        <v>28.576066379000004</v>
      </c>
      <c r="R115" s="44">
        <f t="shared" si="30"/>
        <v>0.98674262358425424</v>
      </c>
      <c r="S115" s="44">
        <f t="shared" si="31"/>
        <v>474.9747887942047</v>
      </c>
      <c r="T115" s="44">
        <f t="shared" si="32"/>
        <v>471.81582418417588</v>
      </c>
      <c r="U115" s="44">
        <f t="shared" si="33"/>
        <v>7.5338956970735574E-2</v>
      </c>
      <c r="V115" s="45">
        <f t="shared" si="34"/>
        <v>5651.167866742373</v>
      </c>
      <c r="W115" s="46">
        <f t="shared" si="35"/>
        <v>3.8418469231931001</v>
      </c>
      <c r="X115" s="47">
        <v>477.90199999999999</v>
      </c>
      <c r="Y115" s="46">
        <v>38.29</v>
      </c>
      <c r="Z115" s="47">
        <f>IF(Daily_fuel_gas_composition[[#This Row],[UCH 1 GCV]]&lt;400,0,(Daily_fuel_gas_composition[[#This Row],[UCH 1 GCV]]/(Daily_fuel_gas_composition[[#This Row],[HHV Calculated. 
(BTU/scf)]]/Daily_fuel_gas_composition[[#This Row],[LHV (BTU/scf)]]))/(0.997495*Daily_fuel_gas_composition[[#This Row],[Calculated Density
 (lb/scf)]]))</f>
        <v>5738.4397495926187</v>
      </c>
      <c r="AA115" s="63"/>
    </row>
    <row r="116" spans="1:27" ht="18" customHeight="1" x14ac:dyDescent="0.25">
      <c r="A116" s="52">
        <v>46081</v>
      </c>
      <c r="B116" s="42">
        <v>0.16089999999999999</v>
      </c>
      <c r="C116" s="42">
        <v>23.353400000000001</v>
      </c>
      <c r="D116" s="42">
        <v>41.871400000000001</v>
      </c>
      <c r="E116" s="42">
        <v>32.8247</v>
      </c>
      <c r="F116" s="42">
        <v>1.0702</v>
      </c>
      <c r="G116" s="42">
        <v>0.38669999999999999</v>
      </c>
      <c r="H116" s="42">
        <v>0.1048</v>
      </c>
      <c r="I116" s="42">
        <v>0.1193</v>
      </c>
      <c r="J116" s="42">
        <v>3.0000000000000001E-3</v>
      </c>
      <c r="K116" s="42">
        <v>6.2E-2</v>
      </c>
      <c r="L116" s="42">
        <v>4.36E-2</v>
      </c>
      <c r="M116" s="48">
        <f t="shared" si="27"/>
        <v>30</v>
      </c>
      <c r="N116" s="43" t="e">
        <f>AVERAGEIFS(#REF!,#REF!,'Fuel. Gas specifications'!A95)</f>
        <v>#REF!</v>
      </c>
      <c r="O116" s="43">
        <f t="shared" si="28"/>
        <v>56.178100000000001</v>
      </c>
      <c r="P116" s="44">
        <f t="shared" si="29"/>
        <v>424.80276750000002</v>
      </c>
      <c r="Q116" s="44" cm="1">
        <f t="array" ref="Q116">SUMPRODUCT(B116:L116/100,$B$7:$L$7)</f>
        <v>28.544024589000003</v>
      </c>
      <c r="R116" s="44">
        <f t="shared" si="30"/>
        <v>0.98563620818370168</v>
      </c>
      <c r="S116" s="44">
        <f t="shared" si="31"/>
        <v>474.18674515814877</v>
      </c>
      <c r="T116" s="44">
        <f t="shared" si="32"/>
        <v>470.76886750000011</v>
      </c>
      <c r="U116" s="44">
        <f t="shared" si="33"/>
        <v>7.5254480856841555E-2</v>
      </c>
      <c r="V116" s="45">
        <f t="shared" si="34"/>
        <v>5644.8833699100624</v>
      </c>
      <c r="W116" s="46">
        <f t="shared" si="35"/>
        <v>3.8427390105904542</v>
      </c>
      <c r="X116" s="47">
        <v>477.2</v>
      </c>
      <c r="Y116" s="46">
        <v>28.53</v>
      </c>
      <c r="Z116" s="47">
        <f>IF(Daily_fuel_gas_composition[[#This Row],[UCH 1 GCV]]&lt;400,0,(Daily_fuel_gas_composition[[#This Row],[UCH 1 GCV]]/(Daily_fuel_gas_composition[[#This Row],[HHV Calculated. 
(BTU/scf)]]/Daily_fuel_gas_composition[[#This Row],[LHV (BTU/scf)]]))/(0.997495*Daily_fuel_gas_composition[[#This Row],[Calculated Density
 (lb/scf)]]))</f>
        <v>5736.3672299285954</v>
      </c>
      <c r="AA116" s="63"/>
    </row>
    <row r="117" spans="1:27" ht="18" customHeight="1" x14ac:dyDescent="0.25">
      <c r="A117" s="52">
        <v>46082</v>
      </c>
      <c r="B117" s="42">
        <v>0.15590000000000001</v>
      </c>
      <c r="C117" s="42">
        <v>24.497900000000001</v>
      </c>
      <c r="D117" s="42">
        <v>41.746400000000001</v>
      </c>
      <c r="E117" s="42">
        <v>31.819199999999999</v>
      </c>
      <c r="F117" s="42">
        <v>1.0710999999999999</v>
      </c>
      <c r="G117" s="42">
        <v>0.38150000000000001</v>
      </c>
      <c r="H117" s="42">
        <v>0.1036</v>
      </c>
      <c r="I117" s="42">
        <v>0.1191</v>
      </c>
      <c r="J117" s="42">
        <v>1.1999999999999999E-3</v>
      </c>
      <c r="K117" s="42">
        <v>6.13E-2</v>
      </c>
      <c r="L117" s="42">
        <v>4.2900000000000001E-2</v>
      </c>
      <c r="M117" s="48">
        <f t="shared" si="27"/>
        <v>11.999999999999998</v>
      </c>
      <c r="N117" s="43" t="e">
        <f>AVERAGEIFS(#REF!,#REF!,'Fuel. Gas specifications'!A96)</f>
        <v>#REF!</v>
      </c>
      <c r="O117" s="43">
        <f t="shared" si="28"/>
        <v>56.317099999999996</v>
      </c>
      <c r="P117" s="44">
        <f t="shared" si="29"/>
        <v>423.23516766483232</v>
      </c>
      <c r="Q117" s="44" cm="1">
        <f t="array" ref="Q117">SUMPRODUCT(B117:L117/100,$B$7:$L$7)</f>
        <v>28.393290547999996</v>
      </c>
      <c r="R117" s="44">
        <f t="shared" si="30"/>
        <v>0.98043130345303853</v>
      </c>
      <c r="S117" s="44">
        <f t="shared" si="31"/>
        <v>473.69783240240616</v>
      </c>
      <c r="T117" s="44">
        <f t="shared" si="32"/>
        <v>469.04010885989106</v>
      </c>
      <c r="U117" s="44">
        <f t="shared" si="33"/>
        <v>7.4857080274189289E-2</v>
      </c>
      <c r="V117" s="45">
        <f t="shared" si="34"/>
        <v>5653.9096384014829</v>
      </c>
      <c r="W117" s="46">
        <f t="shared" si="35"/>
        <v>3.8439309164357338</v>
      </c>
      <c r="X117" s="47">
        <v>475.16399999999999</v>
      </c>
      <c r="Y117" s="46">
        <v>13.36</v>
      </c>
      <c r="Z117" s="47">
        <f>IF(Daily_fuel_gas_composition[[#This Row],[UCH 1 GCV]]&lt;400,0,(Daily_fuel_gas_composition[[#This Row],[UCH 1 GCV]]/(Daily_fuel_gas_composition[[#This Row],[HHV Calculated. 
(BTU/scf)]]/Daily_fuel_gas_composition[[#This Row],[LHV (BTU/scf)]]))/(0.997495*Daily_fuel_gas_composition[[#This Row],[Calculated Density
 (lb/scf)]]))</f>
        <v>5742.1123213614273</v>
      </c>
      <c r="AA117" s="63"/>
    </row>
    <row r="118" spans="1:27" ht="18" customHeight="1" x14ac:dyDescent="0.25">
      <c r="A118" s="52">
        <v>46083</v>
      </c>
      <c r="B118" s="42">
        <v>0.16139999999999999</v>
      </c>
      <c r="C118" s="42">
        <v>22.704999999999998</v>
      </c>
      <c r="D118" s="42">
        <v>42.072600000000001</v>
      </c>
      <c r="E118" s="42">
        <v>33.1937</v>
      </c>
      <c r="F118" s="42">
        <v>1.1405000000000001</v>
      </c>
      <c r="G118" s="42">
        <v>0.38929999999999998</v>
      </c>
      <c r="H118" s="42">
        <v>0.1051</v>
      </c>
      <c r="I118" s="42">
        <v>0.1227</v>
      </c>
      <c r="J118" s="42">
        <v>4.1000000000000003E-3</v>
      </c>
      <c r="K118" s="42">
        <v>6.2199999999999998E-2</v>
      </c>
      <c r="L118" s="42">
        <v>4.3499999999999997E-2</v>
      </c>
      <c r="M118" s="48">
        <f t="shared" si="27"/>
        <v>41</v>
      </c>
      <c r="N118" s="43" t="e">
        <f>AVERAGEIFS(#REF!,#REF!,'Fuel. Gas specifications'!A97)</f>
        <v>#REF!</v>
      </c>
      <c r="O118" s="43">
        <f t="shared" si="28"/>
        <v>55.898699999999998</v>
      </c>
      <c r="P118" s="44">
        <f t="shared" si="29"/>
        <v>427.97371912628097</v>
      </c>
      <c r="Q118" s="44" cm="1">
        <f t="array" ref="Q118">SUMPRODUCT(B118:L118/100,$B$7:$L$7)</f>
        <v>28.582377910999995</v>
      </c>
      <c r="R118" s="44">
        <f t="shared" si="30"/>
        <v>0.98696056322513792</v>
      </c>
      <c r="S118" s="44">
        <f t="shared" si="31"/>
        <v>477.38806356660473</v>
      </c>
      <c r="T118" s="44">
        <f t="shared" si="32"/>
        <v>474.26541503458498</v>
      </c>
      <c r="U118" s="44">
        <f t="shared" si="33"/>
        <v>7.5355596918006834E-2</v>
      </c>
      <c r="V118" s="45">
        <f t="shared" si="34"/>
        <v>5679.3886138537528</v>
      </c>
      <c r="W118" s="46">
        <f t="shared" si="35"/>
        <v>3.8402573774869788</v>
      </c>
      <c r="X118" s="47">
        <v>475.19900000000001</v>
      </c>
      <c r="Y118" s="46">
        <v>46.48</v>
      </c>
      <c r="Z118" s="47">
        <f>IF(Daily_fuel_gas_composition[[#This Row],[UCH 1 GCV]]&lt;400,0,(Daily_fuel_gas_composition[[#This Row],[UCH 1 GCV]]/(Daily_fuel_gas_composition[[#This Row],[HHV Calculated. 
(BTU/scf)]]/Daily_fuel_gas_composition[[#This Row],[LHV (BTU/scf)]]))/(0.997495*Daily_fuel_gas_composition[[#This Row],[Calculated Density
 (lb/scf)]]))</f>
        <v>5704.8590844595037</v>
      </c>
      <c r="AA118" s="63"/>
    </row>
    <row r="119" spans="1:27" ht="18" customHeight="1" x14ac:dyDescent="0.25">
      <c r="A119" s="52">
        <v>46084</v>
      </c>
      <c r="B119" s="42">
        <v>0.1633</v>
      </c>
      <c r="C119" s="42">
        <v>22.498000000000001</v>
      </c>
      <c r="D119" s="42">
        <v>42.134300000000003</v>
      </c>
      <c r="E119" s="42">
        <v>33.3626</v>
      </c>
      <c r="F119" s="42">
        <v>1.1132</v>
      </c>
      <c r="G119" s="42">
        <v>0.39240000000000003</v>
      </c>
      <c r="H119" s="42">
        <v>0.106</v>
      </c>
      <c r="I119" s="42">
        <v>0.12039999999999999</v>
      </c>
      <c r="J119" s="42">
        <v>4.7999999999999996E-3</v>
      </c>
      <c r="K119" s="42">
        <v>6.2600000000000003E-2</v>
      </c>
      <c r="L119" s="42">
        <v>4.2500000000000003E-2</v>
      </c>
      <c r="M119" s="48">
        <f t="shared" si="27"/>
        <v>47.999999999999993</v>
      </c>
      <c r="N119" s="43" t="e">
        <f>AVERAGEIFS(#REF!,#REF!,'Fuel. Gas specifications'!A98)</f>
        <v>#REF!</v>
      </c>
      <c r="O119" s="43">
        <f t="shared" si="28"/>
        <v>55.860600000000005</v>
      </c>
      <c r="P119" s="44">
        <f t="shared" si="29"/>
        <v>428.18793751206243</v>
      </c>
      <c r="Q119" s="44" cm="1">
        <f t="array" ref="Q119">SUMPRODUCT(B119:L119/100,$B$7:$L$7)</f>
        <v>28.60240962</v>
      </c>
      <c r="R119" s="44">
        <f t="shared" si="30"/>
        <v>0.98765226588397781</v>
      </c>
      <c r="S119" s="44">
        <f t="shared" si="31"/>
        <v>477.46541801215596</v>
      </c>
      <c r="T119" s="44">
        <f t="shared" si="32"/>
        <v>474.50845369154621</v>
      </c>
      <c r="U119" s="44">
        <f t="shared" si="33"/>
        <v>7.5408409227524384E-2</v>
      </c>
      <c r="V119" s="45">
        <f t="shared" si="34"/>
        <v>5678.2518275928842</v>
      </c>
      <c r="W119" s="46">
        <f t="shared" si="35"/>
        <v>3.8411096836625735</v>
      </c>
      <c r="X119" s="47">
        <v>478.16</v>
      </c>
      <c r="Y119" s="46">
        <v>52.48</v>
      </c>
      <c r="Z119" s="47">
        <f>IF(Daily_fuel_gas_composition[[#This Row],[UCH 1 GCV]]&lt;400,0,(Daily_fuel_gas_composition[[#This Row],[UCH 1 GCV]]/(Daily_fuel_gas_composition[[#This Row],[HHV Calculated. 
(BTU/scf)]]/Daily_fuel_gas_composition[[#This Row],[LHV (BTU/scf)]]))/(0.997495*Daily_fuel_gas_composition[[#This Row],[Calculated Density
 (lb/scf)]]))</f>
        <v>5736.3178900022976</v>
      </c>
      <c r="AA119" s="63"/>
    </row>
    <row r="120" spans="1:27" ht="18" customHeight="1" x14ac:dyDescent="0.25">
      <c r="A120" s="52">
        <v>46085</v>
      </c>
      <c r="B120" s="42">
        <v>0.16370000000000001</v>
      </c>
      <c r="C120" s="42">
        <v>22.485499999999998</v>
      </c>
      <c r="D120" s="42">
        <v>42.0456</v>
      </c>
      <c r="E120" s="42">
        <v>33.439900000000002</v>
      </c>
      <c r="F120" s="42">
        <v>1.1372</v>
      </c>
      <c r="G120" s="42">
        <v>0.39</v>
      </c>
      <c r="H120" s="42">
        <v>0.1052</v>
      </c>
      <c r="I120" s="42">
        <v>0.122</v>
      </c>
      <c r="J120" s="42">
        <v>5.4999999999999997E-3</v>
      </c>
      <c r="K120" s="42">
        <v>6.2199999999999998E-2</v>
      </c>
      <c r="L120" s="42">
        <v>4.3200000000000002E-2</v>
      </c>
      <c r="M120" s="48">
        <f t="shared" si="27"/>
        <v>55</v>
      </c>
      <c r="N120" s="43" t="e">
        <f>AVERAGEIFS(#REF!,#REF!,'Fuel. Gas specifications'!A99)</f>
        <v>#REF!</v>
      </c>
      <c r="O120" s="43">
        <f t="shared" si="28"/>
        <v>55.925399999999996</v>
      </c>
      <c r="P120" s="44">
        <f t="shared" si="29"/>
        <v>427.771703</v>
      </c>
      <c r="Q120" s="44" cm="1">
        <f t="array" ref="Q120">SUMPRODUCT(B120:L120/100,$B$7:$L$7)</f>
        <v>28.626120757999995</v>
      </c>
      <c r="R120" s="44">
        <f t="shared" si="30"/>
        <v>0.98847102064917114</v>
      </c>
      <c r="S120" s="44">
        <f t="shared" si="31"/>
        <v>476.79555022443117</v>
      </c>
      <c r="T120" s="44">
        <f t="shared" si="32"/>
        <v>474.0390994</v>
      </c>
      <c r="U120" s="44">
        <f t="shared" si="33"/>
        <v>7.5470922114421288E-2</v>
      </c>
      <c r="V120" s="45">
        <f t="shared" si="34"/>
        <v>5668.0333433776832</v>
      </c>
      <c r="W120" s="46">
        <f t="shared" si="35"/>
        <v>3.8399682725223334</v>
      </c>
      <c r="X120" s="47">
        <v>475.78</v>
      </c>
      <c r="Y120" s="46">
        <v>60.32</v>
      </c>
      <c r="Z120" s="47">
        <f>IF(Daily_fuel_gas_composition[[#This Row],[UCH 1 GCV]]&lt;400,0,(Daily_fuel_gas_composition[[#This Row],[UCH 1 GCV]]/(Daily_fuel_gas_composition[[#This Row],[HHV Calculated. 
(BTU/scf)]]/Daily_fuel_gas_composition[[#This Row],[LHV (BTU/scf)]]))/(0.997495*Daily_fuel_gas_composition[[#This Row],[Calculated Density
 (lb/scf)]]))</f>
        <v>5703.1354545789582</v>
      </c>
      <c r="AA120" s="63"/>
    </row>
    <row r="121" spans="1:27" ht="18" customHeight="1" x14ac:dyDescent="0.25">
      <c r="A121" s="52">
        <v>46086</v>
      </c>
      <c r="B121" s="42">
        <v>0.1648</v>
      </c>
      <c r="C121" s="42">
        <v>22.5276</v>
      </c>
      <c r="D121" s="42">
        <v>41.940899999999999</v>
      </c>
      <c r="E121" s="42">
        <v>33.529699999999998</v>
      </c>
      <c r="F121" s="42">
        <v>1.1093999999999999</v>
      </c>
      <c r="G121" s="42">
        <v>0.39169999999999999</v>
      </c>
      <c r="H121" s="42">
        <v>0.10580000000000001</v>
      </c>
      <c r="I121" s="42">
        <v>0.1205</v>
      </c>
      <c r="J121" s="42">
        <v>4.7000000000000002E-3</v>
      </c>
      <c r="K121" s="42">
        <v>6.25E-2</v>
      </c>
      <c r="L121" s="42">
        <v>4.2500000000000003E-2</v>
      </c>
      <c r="M121" s="48">
        <f t="shared" si="27"/>
        <v>47</v>
      </c>
      <c r="N121" s="43" t="e">
        <f>AVERAGEIFS(#REF!,#REF!,'Fuel. Gas specifications'!A100)</f>
        <v>#REF!</v>
      </c>
      <c r="O121" s="43">
        <f t="shared" si="28"/>
        <v>56.057299999999998</v>
      </c>
      <c r="P121" s="44">
        <f t="shared" si="29"/>
        <v>426.41022598977412</v>
      </c>
      <c r="Q121" s="44" cm="1">
        <f t="array" ref="Q121">SUMPRODUCT(B121:L121/100,$B$7:$L$7)</f>
        <v>28.652891978999993</v>
      </c>
      <c r="R121" s="44">
        <f t="shared" si="30"/>
        <v>0.98939544126381185</v>
      </c>
      <c r="S121" s="44">
        <f t="shared" si="31"/>
        <v>475.05932803324231</v>
      </c>
      <c r="T121" s="44">
        <f t="shared" si="32"/>
        <v>472.53371716628288</v>
      </c>
      <c r="U121" s="44">
        <f t="shared" si="33"/>
        <v>7.5541502712892145E-2</v>
      </c>
      <c r="V121" s="45">
        <f t="shared" si="34"/>
        <v>5644.714636011624</v>
      </c>
      <c r="W121" s="46">
        <f t="shared" si="35"/>
        <v>3.8403896653250635</v>
      </c>
      <c r="X121" s="47">
        <v>475.91</v>
      </c>
      <c r="Y121" s="46">
        <v>50.31</v>
      </c>
      <c r="Z121" s="47">
        <f>IF(Daily_fuel_gas_composition[[#This Row],[UCH 1 GCV]]&lt;400,0,(Daily_fuel_gas_composition[[#This Row],[UCH 1 GCV]]/(Daily_fuel_gas_composition[[#This Row],[HHV Calculated. 
(BTU/scf)]]/Daily_fuel_gas_composition[[#This Row],[LHV (BTU/scf)]]))/(0.997495*Daily_fuel_gas_composition[[#This Row],[Calculated Density
 (lb/scf)]]))</f>
        <v>5699.3232783933627</v>
      </c>
      <c r="AA121" s="63"/>
    </row>
    <row r="122" spans="1:27" ht="18" customHeight="1" x14ac:dyDescent="0.25">
      <c r="A122" s="52">
        <v>46087</v>
      </c>
      <c r="B122" s="42">
        <v>0.16650000000000001</v>
      </c>
      <c r="C122" s="42">
        <v>22.444700000000001</v>
      </c>
      <c r="D122" s="42">
        <v>41.994199999999999</v>
      </c>
      <c r="E122" s="42">
        <v>33.550600000000003</v>
      </c>
      <c r="F122" s="42">
        <v>1.1154999999999999</v>
      </c>
      <c r="G122" s="42">
        <v>0.39150000000000001</v>
      </c>
      <c r="H122" s="42">
        <v>0.10580000000000001</v>
      </c>
      <c r="I122" s="42">
        <v>0.1211</v>
      </c>
      <c r="J122" s="42">
        <v>4.8999999999999998E-3</v>
      </c>
      <c r="K122" s="42">
        <v>6.25E-2</v>
      </c>
      <c r="L122" s="42">
        <v>4.2799999999999998E-2</v>
      </c>
      <c r="M122" s="48">
        <f t="shared" si="27"/>
        <v>49</v>
      </c>
      <c r="N122" s="43" t="e">
        <f>AVERAGEIFS(#REF!,#REF!,'Fuel. Gas specifications'!A101)</f>
        <v>#REF!</v>
      </c>
      <c r="O122" s="43">
        <f t="shared" si="28"/>
        <v>55.9953</v>
      </c>
      <c r="P122" s="44">
        <f t="shared" si="29"/>
        <v>427.09427010572989</v>
      </c>
      <c r="Q122" s="44" cm="1">
        <f t="array" ref="Q122">SUMPRODUCT(B122:L122/100,$B$7:$L$7)</f>
        <v>28.651262643999999</v>
      </c>
      <c r="R122" s="44">
        <f t="shared" si="30"/>
        <v>0.9893391796961325</v>
      </c>
      <c r="S122" s="44">
        <f t="shared" si="31"/>
        <v>475.83186003408997</v>
      </c>
      <c r="T122" s="44">
        <f t="shared" si="32"/>
        <v>473.28868481131514</v>
      </c>
      <c r="U122" s="44">
        <f t="shared" si="33"/>
        <v>7.5537207076192978E-2</v>
      </c>
      <c r="V122" s="45">
        <f t="shared" si="34"/>
        <v>5654.0913628819744</v>
      </c>
      <c r="W122" s="46">
        <f t="shared" si="35"/>
        <v>3.8399424662574657</v>
      </c>
      <c r="X122" s="47">
        <v>475.54</v>
      </c>
      <c r="Y122" s="46">
        <v>51.67</v>
      </c>
      <c r="Z122" s="47">
        <f>IF(Daily_fuel_gas_composition[[#This Row],[UCH 1 GCV]]&lt;400,0,(Daily_fuel_gas_composition[[#This Row],[UCH 1 GCV]]/(Daily_fuel_gas_composition[[#This Row],[HHV Calculated. 
(BTU/scf)]]/Daily_fuel_gas_composition[[#This Row],[LHV (BTU/scf)]]))/(0.997495*Daily_fuel_gas_composition[[#This Row],[Calculated Density
 (lb/scf)]]))</f>
        <v>5695.2530617795182</v>
      </c>
      <c r="AA122" s="63"/>
    </row>
    <row r="123" spans="1:27" ht="18" customHeight="1" x14ac:dyDescent="0.25">
      <c r="A123" s="52">
        <v>46088</v>
      </c>
      <c r="B123" s="42">
        <v>0.16800000000000001</v>
      </c>
      <c r="C123" s="42">
        <v>22.315999999999999</v>
      </c>
      <c r="D123" s="42">
        <v>42.183799999999998</v>
      </c>
      <c r="E123" s="42">
        <v>33.487900000000003</v>
      </c>
      <c r="F123" s="42">
        <v>1.1124000000000001</v>
      </c>
      <c r="G123" s="42">
        <v>0.39350000000000002</v>
      </c>
      <c r="H123" s="42">
        <v>0.10630000000000001</v>
      </c>
      <c r="I123" s="42">
        <v>0.121</v>
      </c>
      <c r="J123" s="42">
        <v>5.1000000000000004E-3</v>
      </c>
      <c r="K123" s="42">
        <v>6.2799999999999995E-2</v>
      </c>
      <c r="L123" s="42">
        <v>4.2900000000000001E-2</v>
      </c>
      <c r="M123" s="48">
        <f t="shared" si="27"/>
        <v>51.000000000000007</v>
      </c>
      <c r="N123" s="43" t="e">
        <f>AVERAGEIFS(#REF!,#REF!,'Fuel. Gas specifications'!A102)</f>
        <v>#REF!</v>
      </c>
      <c r="O123" s="43">
        <f t="shared" si="28"/>
        <v>55.803899999999999</v>
      </c>
      <c r="P123" s="44">
        <f t="shared" si="29"/>
        <v>428.91035033105106</v>
      </c>
      <c r="Q123" s="44" cm="1">
        <f t="array" ref="Q123">SUMPRODUCT(B123:L123/100,$B$7:$L$7)</f>
        <v>28.619864848000002</v>
      </c>
      <c r="R123" s="44">
        <f t="shared" si="30"/>
        <v>0.98825500165745861</v>
      </c>
      <c r="S123" s="44">
        <f t="shared" si="31"/>
        <v>478.11867445940277</v>
      </c>
      <c r="T123" s="44">
        <f t="shared" si="32"/>
        <v>475.30262990788975</v>
      </c>
      <c r="U123" s="44">
        <f t="shared" si="33"/>
        <v>7.5454428810967575E-2</v>
      </c>
      <c r="V123" s="45">
        <f t="shared" si="34"/>
        <v>5684.3628278676651</v>
      </c>
      <c r="W123" s="46">
        <f t="shared" si="35"/>
        <v>3.840157552441148</v>
      </c>
      <c r="X123" s="47">
        <v>478.17</v>
      </c>
      <c r="Y123" s="46">
        <v>55.91</v>
      </c>
      <c r="Z123" s="47">
        <f>IF(Daily_fuel_gas_composition[[#This Row],[UCH 1 GCV]]&lt;400,0,(Daily_fuel_gas_composition[[#This Row],[UCH 1 GCV]]/(Daily_fuel_gas_composition[[#This Row],[HHV Calculated. 
(BTU/scf)]]/Daily_fuel_gas_composition[[#This Row],[LHV (BTU/scf)]]))/(0.997495*Daily_fuel_gas_composition[[#This Row],[Calculated Density
 (lb/scf)]]))</f>
        <v>5733.01623167657</v>
      </c>
      <c r="AA123" s="63"/>
    </row>
    <row r="124" spans="1:27" ht="18" customHeight="1" x14ac:dyDescent="0.25">
      <c r="A124" s="55">
        <v>46089</v>
      </c>
      <c r="B124" s="56">
        <v>0.16839999999999999</v>
      </c>
      <c r="C124" s="56">
        <v>22.182500000000001</v>
      </c>
      <c r="D124" s="56">
        <v>42.081899999999997</v>
      </c>
      <c r="E124" s="56">
        <v>33.728700000000003</v>
      </c>
      <c r="F124" s="56">
        <v>1.1064000000000001</v>
      </c>
      <c r="G124" s="56">
        <v>0.39350000000000002</v>
      </c>
      <c r="H124" s="56">
        <v>0.1061</v>
      </c>
      <c r="I124" s="56">
        <v>0.1207</v>
      </c>
      <c r="J124" s="56">
        <v>6.0000000000000001E-3</v>
      </c>
      <c r="K124" s="56">
        <v>6.2700000000000006E-2</v>
      </c>
      <c r="L124" s="56">
        <v>4.2799999999999998E-2</v>
      </c>
      <c r="M124" s="58">
        <f t="shared" si="27"/>
        <v>60</v>
      </c>
      <c r="N124" s="57" t="e">
        <f>AVERAGEIFS(#REF!,#REF!,'Fuel. Gas specifications'!A103)</f>
        <v>#REF!</v>
      </c>
      <c r="O124" s="43">
        <f t="shared" si="28"/>
        <v>55.911200000000008</v>
      </c>
      <c r="P124" s="44">
        <f t="shared" si="29"/>
        <v>427.88700396101183</v>
      </c>
      <c r="Q124" s="44" cm="1">
        <f t="array" ref="Q124">SUMPRODUCT(B124:L124/100,$B$7:$L$7)</f>
        <v>28.670508069000004</v>
      </c>
      <c r="R124" s="44">
        <f t="shared" si="30"/>
        <v>0.99000373166436473</v>
      </c>
      <c r="S124" s="44">
        <f t="shared" si="31"/>
        <v>476.55558871236491</v>
      </c>
      <c r="T124" s="44">
        <f t="shared" si="32"/>
        <v>474.16771750315246</v>
      </c>
      <c r="U124" s="44">
        <f t="shared" si="33"/>
        <v>7.5587946398629063E-2</v>
      </c>
      <c r="V124" s="115">
        <f t="shared" si="34"/>
        <v>5660.78355541582</v>
      </c>
      <c r="W124" s="46">
        <f t="shared" si="35"/>
        <v>3.8400761264015451</v>
      </c>
      <c r="X124" s="47">
        <v>476.54</v>
      </c>
      <c r="Y124" s="46">
        <v>64.03</v>
      </c>
      <c r="Z124" s="47">
        <f>IF(Daily_fuel_gas_composition[[#This Row],[UCH 1 GCV]]&lt;400,0,(Daily_fuel_gas_composition[[#This Row],[UCH 1 GCV]]/(Daily_fuel_gas_composition[[#This Row],[HHV Calculated. 
(BTU/scf)]]/Daily_fuel_gas_composition[[#This Row],[LHV (BTU/scf)]]))/(0.997495*Daily_fuel_gas_composition[[#This Row],[Calculated Density
 (lb/scf)]]))</f>
        <v>5703.3917073250277</v>
      </c>
      <c r="AA124" s="63"/>
    </row>
    <row r="125" spans="1:27" ht="18" customHeight="1" x14ac:dyDescent="0.25">
      <c r="A125" s="52">
        <v>46104</v>
      </c>
      <c r="B125" s="42">
        <v>0.15409999999999999</v>
      </c>
      <c r="C125" s="42">
        <v>22.4665</v>
      </c>
      <c r="D125" s="42">
        <v>41.797400000000003</v>
      </c>
      <c r="E125" s="42">
        <v>33.776800000000001</v>
      </c>
      <c r="F125" s="42">
        <v>1.0815999999999999</v>
      </c>
      <c r="G125" s="42">
        <v>0.39040000000000002</v>
      </c>
      <c r="H125" s="42">
        <v>0.10589999999999999</v>
      </c>
      <c r="I125" s="42">
        <v>0.1181</v>
      </c>
      <c r="J125" s="42">
        <v>6.3E-3</v>
      </c>
      <c r="K125" s="42">
        <v>6.1499999999999999E-2</v>
      </c>
      <c r="L125" s="42">
        <v>4.1399999999999999E-2</v>
      </c>
      <c r="M125" s="43">
        <f>J125*10000</f>
        <v>63</v>
      </c>
      <c r="N125" s="43"/>
      <c r="O125" s="43">
        <f t="shared" si="28"/>
        <v>56.243300000000005</v>
      </c>
      <c r="P125" s="44">
        <f>SUMPRODUCT($B$6:$L$6,B125:L125)/SUM(B125:L125)</f>
        <v>424.01672859999996</v>
      </c>
      <c r="Q125" s="44" cm="1">
        <f t="array" ref="Q125">SUMPRODUCT(B125:L125/100,$B$7:$L$7)</f>
        <v>28.701042681999997</v>
      </c>
      <c r="R125" s="44">
        <f t="shared" si="30"/>
        <v>0.99105810366022085</v>
      </c>
      <c r="S125" s="44">
        <f t="shared" si="31"/>
        <v>472.01744812440387</v>
      </c>
      <c r="T125" s="44">
        <f t="shared" si="32"/>
        <v>469.90234369999996</v>
      </c>
      <c r="U125" s="44">
        <f t="shared" si="33"/>
        <v>7.5668448937516467E-2</v>
      </c>
      <c r="V125" s="45">
        <f t="shared" si="34"/>
        <v>5603.6133230394817</v>
      </c>
      <c r="W125" s="46">
        <f t="shared" si="35"/>
        <v>3.8436721167803261</v>
      </c>
      <c r="X125" s="47">
        <f>AVERAGE(455.61,481.193,478.281,480.956,478.453)</f>
        <v>474.89859999999999</v>
      </c>
      <c r="Y125" s="46">
        <f>AVERAGE(11.91,3,5.77,9.29,10.45)</f>
        <v>8.0839999999999996</v>
      </c>
      <c r="Z125" s="47">
        <f>IF(Daily_fuel_gas_composition[[#This Row],[UCH 1 GCV]]&lt;400,0,(Daily_fuel_gas_composition[[#This Row],[UCH 1 GCV]]/(Daily_fuel_gas_composition[[#This Row],[HHV Calculated. 
(BTU/scf)]]/Daily_fuel_gas_composition[[#This Row],[LHV (BTU/scf)]]))/(0.997495*Daily_fuel_gas_composition[[#This Row],[Calculated Density
 (lb/scf)]]))</f>
        <v>5677.4159026289699</v>
      </c>
      <c r="AA125" s="63"/>
    </row>
    <row r="126" spans="1:27" ht="18" customHeight="1" x14ac:dyDescent="0.25">
      <c r="A126" s="119"/>
      <c r="N126" s="49">
        <v>473.75</v>
      </c>
    </row>
  </sheetData>
  <pageMargins left="0.7" right="0.7" top="0.75" bottom="0.75" header="0.3" footer="0.3"/>
  <pageSetup orientation="portrait" horizontalDpi="1200" verticalDpi="1200"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9FAA3-5984-4993-941B-CE7DD333D216}">
  <sheetPr codeName="Sheet6"/>
  <dimension ref="A1:DG821"/>
  <sheetViews>
    <sheetView workbookViewId="0">
      <pane xSplit="2" ySplit="1" topLeftCell="CK12" activePane="bottomRight" state="frozen"/>
      <selection activeCell="BI21" sqref="BI21"/>
      <selection pane="topRight" activeCell="BI21" sqref="BI21"/>
      <selection pane="bottomLeft" activeCell="BI21" sqref="BI21"/>
      <selection pane="bottomRight" activeCell="CM15" sqref="CM15"/>
    </sheetView>
  </sheetViews>
  <sheetFormatPr defaultRowHeight="13.2" x14ac:dyDescent="0.25"/>
  <cols>
    <col min="1" max="1" width="11.88671875" bestFit="1" customWidth="1"/>
    <col min="2" max="2" width="7.6640625" bestFit="1" customWidth="1"/>
    <col min="3" max="3" width="14.44140625" bestFit="1" customWidth="1"/>
    <col min="4" max="4" width="10.44140625" bestFit="1" customWidth="1"/>
    <col min="5" max="6" width="15.33203125" bestFit="1" customWidth="1"/>
    <col min="7" max="7" width="12.88671875" bestFit="1" customWidth="1"/>
    <col min="8" max="14" width="15.33203125" bestFit="1" customWidth="1"/>
    <col min="15" max="15" width="15.33203125" style="54" bestFit="1" customWidth="1"/>
    <col min="16" max="19" width="15.33203125" bestFit="1" customWidth="1"/>
    <col min="20" max="20" width="12.109375" bestFit="1" customWidth="1"/>
    <col min="21" max="38" width="15.33203125" bestFit="1" customWidth="1"/>
    <col min="39" max="39" width="14.77734375" bestFit="1" customWidth="1"/>
    <col min="40" max="40" width="15.33203125" bestFit="1" customWidth="1"/>
    <col min="41" max="42" width="12.109375" bestFit="1" customWidth="1"/>
    <col min="43" max="43" width="12.5546875" bestFit="1" customWidth="1"/>
    <col min="44" max="52" width="15.33203125" bestFit="1" customWidth="1"/>
    <col min="53" max="53" width="12.109375" bestFit="1" customWidth="1"/>
    <col min="54" max="54" width="15.21875" bestFit="1" customWidth="1"/>
    <col min="55" max="91" width="15.33203125" bestFit="1" customWidth="1"/>
    <col min="92" max="93" width="15.33203125" style="116" bestFit="1" customWidth="1"/>
    <col min="94" max="94" width="12.77734375" style="116" bestFit="1" customWidth="1"/>
    <col min="95" max="95" width="12.109375" style="116" bestFit="1" customWidth="1"/>
    <col min="96" max="96" width="12.77734375" style="116" bestFit="1" customWidth="1"/>
    <col min="97" max="97" width="15.33203125" style="116" bestFit="1" customWidth="1"/>
    <col min="98" max="98" width="13.88671875" style="116" bestFit="1" customWidth="1"/>
    <col min="99" max="99" width="15.33203125" style="116" bestFit="1" customWidth="1"/>
    <col min="100" max="100" width="13.5546875" style="116" bestFit="1" customWidth="1"/>
    <col min="101" max="102" width="15.33203125" style="116" bestFit="1" customWidth="1"/>
    <col min="103" max="103" width="12.109375" style="116" bestFit="1" customWidth="1"/>
    <col min="104" max="105" width="12.77734375" style="116" bestFit="1" customWidth="1"/>
    <col min="106" max="106" width="15.33203125" style="116" bestFit="1" customWidth="1"/>
    <col min="107" max="107" width="13.21875" style="116" bestFit="1" customWidth="1"/>
    <col min="108" max="108" width="15.33203125" style="116" bestFit="1" customWidth="1"/>
    <col min="109" max="109" width="12.88671875" style="116" bestFit="1" customWidth="1"/>
    <col min="110" max="111" width="15.33203125" style="116" bestFit="1" customWidth="1"/>
    <col min="112" max="114" width="12.6640625" bestFit="1" customWidth="1"/>
    <col min="115" max="115" width="140" bestFit="1" customWidth="1"/>
  </cols>
  <sheetData>
    <row r="1" spans="1:111" ht="39.6" x14ac:dyDescent="0.25">
      <c r="A1" t="s">
        <v>13</v>
      </c>
      <c r="B1" t="s">
        <v>1</v>
      </c>
      <c r="C1" t="s">
        <v>14</v>
      </c>
      <c r="D1" t="s">
        <v>210</v>
      </c>
      <c r="E1" t="s">
        <v>31</v>
      </c>
      <c r="F1" t="s">
        <v>211</v>
      </c>
      <c r="G1" t="s">
        <v>212</v>
      </c>
      <c r="H1" t="s">
        <v>213</v>
      </c>
      <c r="I1" t="s">
        <v>55</v>
      </c>
      <c r="J1" t="s">
        <v>214</v>
      </c>
      <c r="K1" t="s">
        <v>215</v>
      </c>
      <c r="L1" t="s">
        <v>216</v>
      </c>
      <c r="M1" t="s">
        <v>312</v>
      </c>
      <c r="N1" t="s">
        <v>313</v>
      </c>
      <c r="O1" t="s">
        <v>271</v>
      </c>
      <c r="P1" t="s">
        <v>56</v>
      </c>
      <c r="Q1" t="s">
        <v>272</v>
      </c>
      <c r="R1" s="100" t="s">
        <v>273</v>
      </c>
      <c r="S1" t="s">
        <v>217</v>
      </c>
      <c r="T1" t="s">
        <v>219</v>
      </c>
      <c r="U1" t="s">
        <v>218</v>
      </c>
      <c r="V1" t="s">
        <v>274</v>
      </c>
      <c r="W1" t="s">
        <v>275</v>
      </c>
      <c r="X1" t="s">
        <v>276</v>
      </c>
      <c r="Y1" t="s">
        <v>20</v>
      </c>
      <c r="Z1" t="s">
        <v>54</v>
      </c>
      <c r="AA1" t="s">
        <v>48</v>
      </c>
      <c r="AB1" t="s">
        <v>51</v>
      </c>
      <c r="AC1" t="s">
        <v>287</v>
      </c>
      <c r="AD1" t="s">
        <v>288</v>
      </c>
      <c r="AE1" t="s">
        <v>45</v>
      </c>
      <c r="AF1" t="s">
        <v>199</v>
      </c>
      <c r="AG1" t="s">
        <v>19</v>
      </c>
      <c r="AH1" t="s">
        <v>220</v>
      </c>
      <c r="AI1" t="s">
        <v>221</v>
      </c>
      <c r="AJ1" t="s">
        <v>222</v>
      </c>
      <c r="AK1" t="s">
        <v>301</v>
      </c>
      <c r="AL1" t="s">
        <v>15</v>
      </c>
      <c r="AM1" t="s">
        <v>16</v>
      </c>
      <c r="AN1" t="s">
        <v>17</v>
      </c>
      <c r="AO1" t="s">
        <v>223</v>
      </c>
      <c r="AP1" t="s">
        <v>224</v>
      </c>
      <c r="AQ1" t="s">
        <v>306</v>
      </c>
      <c r="AR1" t="s">
        <v>225</v>
      </c>
      <c r="AS1" t="s">
        <v>23</v>
      </c>
      <c r="AT1" t="s">
        <v>226</v>
      </c>
      <c r="AU1" t="s">
        <v>139</v>
      </c>
      <c r="AV1" t="s">
        <v>227</v>
      </c>
      <c r="AW1" t="s">
        <v>228</v>
      </c>
      <c r="AX1" t="s">
        <v>229</v>
      </c>
      <c r="AY1" t="s">
        <v>230</v>
      </c>
      <c r="AZ1" t="s">
        <v>231</v>
      </c>
      <c r="BA1" t="s">
        <v>266</v>
      </c>
      <c r="BB1" t="s">
        <v>203</v>
      </c>
      <c r="BC1" t="s">
        <v>310</v>
      </c>
      <c r="BD1" t="s">
        <v>232</v>
      </c>
      <c r="BE1" t="s">
        <v>233</v>
      </c>
      <c r="BF1" t="s">
        <v>234</v>
      </c>
      <c r="BG1" t="s">
        <v>235</v>
      </c>
      <c r="BH1" t="s">
        <v>236</v>
      </c>
      <c r="BI1" t="s">
        <v>237</v>
      </c>
      <c r="BJ1" t="s">
        <v>238</v>
      </c>
      <c r="BK1" t="s">
        <v>239</v>
      </c>
      <c r="BL1" t="s">
        <v>240</v>
      </c>
      <c r="BM1" t="s">
        <v>241</v>
      </c>
      <c r="BN1" t="s">
        <v>242</v>
      </c>
      <c r="BO1" t="s">
        <v>243</v>
      </c>
      <c r="BP1" t="s">
        <v>244</v>
      </c>
      <c r="BQ1" t="s">
        <v>245</v>
      </c>
      <c r="BR1" t="s">
        <v>246</v>
      </c>
      <c r="BS1" t="s">
        <v>247</v>
      </c>
      <c r="BT1" t="s">
        <v>248</v>
      </c>
      <c r="BU1" t="s">
        <v>249</v>
      </c>
      <c r="BV1" t="s">
        <v>250</v>
      </c>
      <c r="BW1" t="s">
        <v>251</v>
      </c>
      <c r="BX1" t="s">
        <v>252</v>
      </c>
      <c r="BY1" t="s">
        <v>253</v>
      </c>
      <c r="BZ1" t="s">
        <v>254</v>
      </c>
      <c r="CA1" t="s">
        <v>304</v>
      </c>
      <c r="CB1" t="s">
        <v>305</v>
      </c>
      <c r="CC1" t="s">
        <v>255</v>
      </c>
      <c r="CD1" t="s">
        <v>256</v>
      </c>
      <c r="CE1" t="s">
        <v>257</v>
      </c>
      <c r="CF1" t="s">
        <v>258</v>
      </c>
      <c r="CG1" t="s">
        <v>259</v>
      </c>
      <c r="CH1" t="s">
        <v>260</v>
      </c>
      <c r="CI1" t="s">
        <v>261</v>
      </c>
      <c r="CJ1" t="s">
        <v>262</v>
      </c>
      <c r="CK1" t="s">
        <v>263</v>
      </c>
      <c r="CL1" t="s">
        <v>264</v>
      </c>
      <c r="CM1" t="s">
        <v>267</v>
      </c>
      <c r="CN1" s="116" t="s">
        <v>314</v>
      </c>
      <c r="CO1" s="116" t="s">
        <v>315</v>
      </c>
      <c r="CP1" t="s">
        <v>441</v>
      </c>
      <c r="CQ1" t="s">
        <v>442</v>
      </c>
      <c r="CR1" t="s">
        <v>443</v>
      </c>
      <c r="CS1" t="s">
        <v>444</v>
      </c>
      <c r="CT1" t="s">
        <v>445</v>
      </c>
      <c r="CU1" t="s">
        <v>446</v>
      </c>
      <c r="CV1" t="s">
        <v>447</v>
      </c>
      <c r="CW1" t="s">
        <v>448</v>
      </c>
      <c r="CX1" t="s">
        <v>449</v>
      </c>
      <c r="CY1" t="s">
        <v>450</v>
      </c>
      <c r="CZ1" t="s">
        <v>451</v>
      </c>
      <c r="DA1" t="s">
        <v>452</v>
      </c>
      <c r="DB1" t="s">
        <v>453</v>
      </c>
      <c r="DC1" t="s">
        <v>454</v>
      </c>
      <c r="DD1" t="s">
        <v>455</v>
      </c>
      <c r="DE1" t="s">
        <v>456</v>
      </c>
      <c r="DF1" t="s">
        <v>457</v>
      </c>
      <c r="DG1" t="s">
        <v>458</v>
      </c>
    </row>
    <row r="2" spans="1:111" ht="224.4" hidden="1" x14ac:dyDescent="0.25">
      <c r="A2" s="34">
        <v>46104</v>
      </c>
      <c r="B2">
        <v>1</v>
      </c>
      <c r="C2" s="35">
        <v>46104.041666666664</v>
      </c>
      <c r="D2" t="s">
        <v>265</v>
      </c>
      <c r="E2">
        <v>119.0920317057292</v>
      </c>
      <c r="F2">
        <v>23.233992899945573</v>
      </c>
      <c r="G2">
        <v>1046.9135140781341</v>
      </c>
      <c r="H2">
        <v>119.0920317057292</v>
      </c>
      <c r="I2">
        <v>23.233992899945573</v>
      </c>
      <c r="J2">
        <v>112.07655551563391</v>
      </c>
      <c r="K2">
        <v>8790.7939690289968</v>
      </c>
      <c r="L2">
        <v>8922.2203531928553</v>
      </c>
      <c r="M2">
        <v>10634.892254313474</v>
      </c>
      <c r="N2">
        <v>10793.888749952084</v>
      </c>
      <c r="O2">
        <v>561.22446976439892</v>
      </c>
      <c r="P2">
        <v>36.318736328598661</v>
      </c>
      <c r="Q2">
        <v>422.97704797518458</v>
      </c>
      <c r="R2" s="100">
        <v>0.31611791440921999</v>
      </c>
      <c r="S2" s="118">
        <v>1.0625953943518247</v>
      </c>
      <c r="T2">
        <v>3.8436721167803261</v>
      </c>
      <c r="U2">
        <v>0.98526976705783476</v>
      </c>
      <c r="V2">
        <v>1.0392576645871581</v>
      </c>
      <c r="W2">
        <v>553.91964466233992</v>
      </c>
      <c r="X2">
        <v>439.58213905266064</v>
      </c>
      <c r="Y2">
        <v>18.402465092424816</v>
      </c>
      <c r="Z2">
        <v>553.91964466233992</v>
      </c>
      <c r="AA2">
        <v>358.55551170144821</v>
      </c>
      <c r="AB2">
        <v>11.137732965433862</v>
      </c>
      <c r="AC2">
        <v>11.05679343712837</v>
      </c>
      <c r="AD2">
        <v>0.84584942129597496</v>
      </c>
      <c r="AE2">
        <v>86.307814390190956</v>
      </c>
      <c r="AF2">
        <v>18.248590600511054</v>
      </c>
      <c r="AG2">
        <v>19.379007713670735</v>
      </c>
      <c r="AH2">
        <v>0.89014615921465656</v>
      </c>
      <c r="AI2">
        <v>4.6127692652910479</v>
      </c>
      <c r="AJ2" t="s">
        <v>200</v>
      </c>
      <c r="AL2">
        <v>19.649310783016418</v>
      </c>
      <c r="AM2">
        <v>87.757826707102438</v>
      </c>
      <c r="AN2">
        <v>1007.3203437113784</v>
      </c>
      <c r="AO2">
        <v>18.402465092424816</v>
      </c>
      <c r="AP2">
        <v>87.757826707102438</v>
      </c>
      <c r="AQ2">
        <v>94.8552969468996</v>
      </c>
      <c r="AR2">
        <v>1.0004176811111112</v>
      </c>
      <c r="AS2">
        <v>3001.2530433333336</v>
      </c>
      <c r="AT2">
        <v>36.318736328598661</v>
      </c>
      <c r="AU2">
        <v>3.4943014056140864</v>
      </c>
      <c r="AV2">
        <v>88.755255702597793</v>
      </c>
      <c r="AW2">
        <v>0</v>
      </c>
      <c r="AX2">
        <v>266.7</v>
      </c>
      <c r="AY2">
        <v>1007.3203437113784</v>
      </c>
      <c r="AZ2">
        <v>13205.669389514984</v>
      </c>
      <c r="BA2">
        <v>3.8436721167803261</v>
      </c>
      <c r="BB2">
        <v>5677.4159026289699</v>
      </c>
      <c r="BC2">
        <v>474.89859999999999</v>
      </c>
      <c r="BD2">
        <v>363.58115510837138</v>
      </c>
      <c r="BE2">
        <v>1.0579063024800819</v>
      </c>
      <c r="BF2">
        <v>0.98753886818708925</v>
      </c>
      <c r="BG2">
        <v>1.040213767548763</v>
      </c>
      <c r="BH2">
        <v>-6.3961938154200002</v>
      </c>
      <c r="BI2">
        <v>0.99975904705187713</v>
      </c>
      <c r="BJ2">
        <v>1.001944098806</v>
      </c>
      <c r="BK2">
        <v>0.9966985929220944</v>
      </c>
      <c r="BL2">
        <v>0.38345646697639818</v>
      </c>
      <c r="BM2">
        <v>1.0004941972244001</v>
      </c>
      <c r="BN2">
        <v>0.99990466895953956</v>
      </c>
      <c r="BO2">
        <v>1.0005649043564764</v>
      </c>
      <c r="BP2">
        <v>-0.10541482620527499</v>
      </c>
      <c r="BQ2">
        <v>0.99987892872767314</v>
      </c>
      <c r="BR2">
        <v>0.99907977809426274</v>
      </c>
      <c r="BS2">
        <v>1.0050483570561219</v>
      </c>
      <c r="BT2">
        <v>0.99836006688581391</v>
      </c>
      <c r="BU2">
        <v>1.0037541460831085</v>
      </c>
      <c r="BV2">
        <v>-0.59988474972812844</v>
      </c>
      <c r="BW2">
        <v>1</v>
      </c>
      <c r="BX2">
        <v>1</v>
      </c>
      <c r="BY2">
        <v>0</v>
      </c>
      <c r="BZ2">
        <v>1.0032312000000001</v>
      </c>
      <c r="CA2">
        <v>8332.063967343156</v>
      </c>
      <c r="CB2">
        <v>8456.6321285021932</v>
      </c>
      <c r="CC2">
        <v>0.99678560000000005</v>
      </c>
      <c r="CD2">
        <v>-0.83440000000000003</v>
      </c>
      <c r="CE2">
        <v>1.000949491982617</v>
      </c>
      <c r="CF2">
        <v>0.99999629492872355</v>
      </c>
      <c r="CG2">
        <v>1.0013976929896906</v>
      </c>
      <c r="CH2">
        <v>-0.2100727878800398</v>
      </c>
      <c r="CI2">
        <v>0.99509201211669052</v>
      </c>
      <c r="CJ2">
        <v>1.0016392961487157</v>
      </c>
      <c r="CK2">
        <v>0.99668423571248432</v>
      </c>
      <c r="CL2">
        <v>0.45768461019801698</v>
      </c>
      <c r="CM2" t="s">
        <v>375</v>
      </c>
      <c r="CN2" s="116" t="s">
        <v>376</v>
      </c>
      <c r="CO2" s="116" t="s">
        <v>377</v>
      </c>
      <c r="CP2">
        <v>-6.5187051015317063</v>
      </c>
      <c r="CQ2">
        <v>2.8702492087518128E-2</v>
      </c>
      <c r="CR2">
        <v>-5.8825879930558413E-2</v>
      </c>
      <c r="CS2">
        <v>1.4420369695118628E-2</v>
      </c>
      <c r="CT2">
        <v>-0.59819917556060287</v>
      </c>
      <c r="CU2">
        <v>0</v>
      </c>
      <c r="CV2">
        <v>-0.38357077894663122</v>
      </c>
      <c r="CW2">
        <v>-0.11296966550647056</v>
      </c>
      <c r="CX2">
        <v>0.58738512770002194</v>
      </c>
      <c r="CY2">
        <v>134.19501597986533</v>
      </c>
      <c r="CZ2">
        <v>-20.63516453481547</v>
      </c>
      <c r="DA2">
        <v>1.0139320029816277</v>
      </c>
      <c r="DB2">
        <v>9.7954748280892243</v>
      </c>
      <c r="DC2">
        <v>17.469160227984887</v>
      </c>
      <c r="DD2">
        <v>0</v>
      </c>
      <c r="DE2">
        <v>34.295035624776347</v>
      </c>
      <c r="DF2">
        <v>3.9403179812052096E-2</v>
      </c>
      <c r="DG2">
        <v>-17.405205627949616</v>
      </c>
    </row>
    <row r="3" spans="1:111" ht="198" hidden="1" x14ac:dyDescent="0.25">
      <c r="A3" s="34">
        <v>46104</v>
      </c>
      <c r="B3">
        <v>2</v>
      </c>
      <c r="C3" s="35">
        <v>46104.083333333336</v>
      </c>
      <c r="D3" t="s">
        <v>265</v>
      </c>
      <c r="E3">
        <v>119.36985973958332</v>
      </c>
      <c r="F3">
        <v>23.618074111604685</v>
      </c>
      <c r="G3">
        <v>1064.2200447601836</v>
      </c>
      <c r="H3">
        <v>119.36985973958332</v>
      </c>
      <c r="I3">
        <v>23.618074111604685</v>
      </c>
      <c r="J3">
        <v>112.26727508643707</v>
      </c>
      <c r="K3">
        <v>8915.3162036202502</v>
      </c>
      <c r="L3">
        <v>9051.2716578440559</v>
      </c>
      <c r="M3">
        <v>10785.536274957105</v>
      </c>
      <c r="N3">
        <v>10950.011931211862</v>
      </c>
      <c r="O3">
        <v>561.0515328908557</v>
      </c>
      <c r="P3">
        <v>36.496485150202645</v>
      </c>
      <c r="Q3">
        <v>423.19050629641907</v>
      </c>
      <c r="R3" s="100">
        <v>0.31161076548912697</v>
      </c>
      <c r="S3" s="118">
        <v>1.0632649598707888</v>
      </c>
      <c r="T3">
        <v>3.8436721167803261</v>
      </c>
      <c r="U3">
        <v>0.98497940848941568</v>
      </c>
      <c r="V3">
        <v>1.0393186572982278</v>
      </c>
      <c r="W3">
        <v>553.73905378904567</v>
      </c>
      <c r="X3">
        <v>439.82978878535147</v>
      </c>
      <c r="Y3">
        <v>18.187876656521691</v>
      </c>
      <c r="Z3">
        <v>553.73905378904567</v>
      </c>
      <c r="AA3">
        <v>358.43303153817072</v>
      </c>
      <c r="AB3">
        <v>11.151710662025346</v>
      </c>
      <c r="AC3">
        <v>11.077868196234975</v>
      </c>
      <c r="AD3">
        <v>0.84592384858651004</v>
      </c>
      <c r="AE3">
        <v>86.303857078993062</v>
      </c>
      <c r="AF3">
        <v>18.013526850741286</v>
      </c>
      <c r="AG3">
        <v>19.106991727727788</v>
      </c>
      <c r="AH3">
        <v>0.88157485254715862</v>
      </c>
      <c r="AI3">
        <v>3.4265689427080521</v>
      </c>
      <c r="AJ3" t="s">
        <v>200</v>
      </c>
      <c r="AL3">
        <v>19.485763191843027</v>
      </c>
      <c r="AM3">
        <v>87.099270438209118</v>
      </c>
      <c r="AN3">
        <v>1006.6657649723137</v>
      </c>
      <c r="AO3">
        <v>18.187876656521691</v>
      </c>
      <c r="AP3">
        <v>87.099270438209118</v>
      </c>
      <c r="AQ3">
        <v>94.454973266544329</v>
      </c>
      <c r="AR3">
        <v>1.0001653915509257</v>
      </c>
      <c r="AS3">
        <v>3000.496174652777</v>
      </c>
      <c r="AT3">
        <v>36.496485150202645</v>
      </c>
      <c r="AU3">
        <v>3.4773061686020426</v>
      </c>
      <c r="AV3">
        <v>88.323576682491876</v>
      </c>
      <c r="AW3">
        <v>0</v>
      </c>
      <c r="AX3">
        <v>266.7</v>
      </c>
      <c r="AY3">
        <v>1006.6657649723137</v>
      </c>
      <c r="AZ3">
        <v>13205.669389514984</v>
      </c>
      <c r="BA3">
        <v>3.8436721167803261</v>
      </c>
      <c r="BB3">
        <v>5677.4159026289699</v>
      </c>
      <c r="BC3">
        <v>474.89859999999999</v>
      </c>
      <c r="BD3">
        <v>364.20736920141587</v>
      </c>
      <c r="BE3">
        <v>1.0592961599885471</v>
      </c>
      <c r="BF3">
        <v>0.98726930802223556</v>
      </c>
      <c r="BG3">
        <v>1.0411754416504029</v>
      </c>
      <c r="BH3">
        <v>-6.5488562675054016</v>
      </c>
      <c r="BI3">
        <v>0.99976837322809364</v>
      </c>
      <c r="BJ3">
        <v>1.0018937006174786</v>
      </c>
      <c r="BK3">
        <v>0.99678068275875142</v>
      </c>
      <c r="BL3">
        <v>0.3745010304038241</v>
      </c>
      <c r="BM3">
        <v>1.0001947694083015</v>
      </c>
      <c r="BN3">
        <v>0.99996255343052187</v>
      </c>
      <c r="BO3">
        <v>1.0002230839685857</v>
      </c>
      <c r="BP3">
        <v>-4.1671425260810954E-2</v>
      </c>
      <c r="BQ3">
        <v>0.99987689731256912</v>
      </c>
      <c r="BR3">
        <v>0.99906276499276625</v>
      </c>
      <c r="BS3">
        <v>1.0050981090065814</v>
      </c>
      <c r="BT3">
        <v>0.99834611626386083</v>
      </c>
      <c r="BU3">
        <v>1.0037963250953448</v>
      </c>
      <c r="BV3">
        <v>-0.60707694768233789</v>
      </c>
      <c r="BW3">
        <v>1</v>
      </c>
      <c r="BX3">
        <v>1</v>
      </c>
      <c r="BY3">
        <v>0</v>
      </c>
      <c r="BZ3">
        <v>1.0032312000000001</v>
      </c>
      <c r="CA3">
        <v>8450.0882581667356</v>
      </c>
      <c r="CB3">
        <v>8578.9491489227803</v>
      </c>
      <c r="CC3">
        <v>0.99678560000000005</v>
      </c>
      <c r="CD3">
        <v>-0.83440000000000003</v>
      </c>
      <c r="CE3">
        <v>1.0005087032709497</v>
      </c>
      <c r="CF3">
        <v>0.99999796666821461</v>
      </c>
      <c r="CG3">
        <v>1.0007489219474139</v>
      </c>
      <c r="CH3">
        <v>-0.1126601019633359</v>
      </c>
      <c r="CI3">
        <v>0.99509201211669052</v>
      </c>
      <c r="CJ3">
        <v>1.0016392961487157</v>
      </c>
      <c r="CK3">
        <v>0.99668423571248432</v>
      </c>
      <c r="CL3">
        <v>0.45768461019801698</v>
      </c>
      <c r="CM3" t="s">
        <v>378</v>
      </c>
      <c r="CN3" s="116" t="s">
        <v>379</v>
      </c>
      <c r="CO3" s="116" t="s">
        <v>380</v>
      </c>
      <c r="CP3">
        <v>-6.6819597467485208</v>
      </c>
      <c r="CQ3">
        <v>2.7655661065898524E-2</v>
      </c>
      <c r="CR3">
        <v>-2.3245069522075494E-2</v>
      </c>
      <c r="CS3">
        <v>1.4696559718191777E-2</v>
      </c>
      <c r="CT3">
        <v>-0.60547378569263577</v>
      </c>
      <c r="CU3">
        <v>0</v>
      </c>
      <c r="CV3">
        <v>-0.38446560552597747</v>
      </c>
      <c r="CW3">
        <v>-6.0692963393318658E-2</v>
      </c>
      <c r="CX3">
        <v>0.58875542974967787</v>
      </c>
      <c r="CY3">
        <v>139.07789801198822</v>
      </c>
      <c r="CZ3">
        <v>-20.38597177638324</v>
      </c>
      <c r="DA3">
        <v>0.40389645801559493</v>
      </c>
      <c r="DB3">
        <v>10.118065173565602</v>
      </c>
      <c r="DC3">
        <v>17.867573920601501</v>
      </c>
      <c r="DD3">
        <v>0</v>
      </c>
      <c r="DE3">
        <v>34.780827293473074</v>
      </c>
      <c r="DF3">
        <v>2.1930618322822008E-2</v>
      </c>
      <c r="DG3">
        <v>-17.651751628907927</v>
      </c>
    </row>
    <row r="4" spans="1:111" ht="224.4" hidden="1" x14ac:dyDescent="0.25">
      <c r="A4" s="34">
        <v>46104</v>
      </c>
      <c r="B4">
        <v>3</v>
      </c>
      <c r="C4" s="35">
        <v>46104.125</v>
      </c>
      <c r="D4" t="s">
        <v>265</v>
      </c>
      <c r="E4">
        <v>118.94691572048609</v>
      </c>
      <c r="F4">
        <v>23.36257626936542</v>
      </c>
      <c r="G4">
        <v>1052.7074242213903</v>
      </c>
      <c r="H4">
        <v>118.94691572048609</v>
      </c>
      <c r="I4">
        <v>23.36257626936542</v>
      </c>
      <c r="J4">
        <v>112.16385139539506</v>
      </c>
      <c r="K4">
        <v>8850.2288423783302</v>
      </c>
      <c r="L4">
        <v>8982.5206267739122</v>
      </c>
      <c r="M4">
        <v>10706.795142317202</v>
      </c>
      <c r="N4">
        <v>10866.838578454437</v>
      </c>
      <c r="O4">
        <v>561.09918277428403</v>
      </c>
      <c r="P4">
        <v>37.014176072809434</v>
      </c>
      <c r="Q4">
        <v>424.0398507821792</v>
      </c>
      <c r="R4" s="100">
        <v>0.31399579329035199</v>
      </c>
      <c r="S4" s="118">
        <v>1.0604746024740153</v>
      </c>
      <c r="T4">
        <v>3.8436721167803261</v>
      </c>
      <c r="U4">
        <v>0.98527230942267308</v>
      </c>
      <c r="V4">
        <v>1.0358645873136711</v>
      </c>
      <c r="W4">
        <v>554.3882334120517</v>
      </c>
      <c r="X4">
        <v>439.24786503503276</v>
      </c>
      <c r="Y4">
        <v>18.106624310775331</v>
      </c>
      <c r="Z4">
        <v>554.3882334120517</v>
      </c>
      <c r="AA4">
        <v>357.51325330551998</v>
      </c>
      <c r="AB4">
        <v>11.098439501603975</v>
      </c>
      <c r="AC4">
        <v>11.035451305166331</v>
      </c>
      <c r="AD4">
        <v>0.84590853166158597</v>
      </c>
      <c r="AE4">
        <v>86.30627516384547</v>
      </c>
      <c r="AF4">
        <v>18.014029798908094</v>
      </c>
      <c r="AG4">
        <v>19.039889998931351</v>
      </c>
      <c r="AH4">
        <v>0.95011204421412254</v>
      </c>
      <c r="AI4">
        <v>2.1241601977008568</v>
      </c>
      <c r="AJ4" t="s">
        <v>200</v>
      </c>
      <c r="AL4">
        <v>19.870079228246482</v>
      </c>
      <c r="AM4">
        <v>84.008573936337356</v>
      </c>
      <c r="AN4">
        <v>1005.7078043023175</v>
      </c>
      <c r="AO4">
        <v>18.106624310775331</v>
      </c>
      <c r="AP4">
        <v>84.008573936337356</v>
      </c>
      <c r="AQ4">
        <v>93.779521883828949</v>
      </c>
      <c r="AR4">
        <v>0.99809836312500022</v>
      </c>
      <c r="AS4">
        <v>2994.2950893750008</v>
      </c>
      <c r="AT4">
        <v>37.014176072809434</v>
      </c>
      <c r="AU4">
        <v>3.4429427663136178</v>
      </c>
      <c r="AV4">
        <v>87.45074626436589</v>
      </c>
      <c r="AW4">
        <v>0</v>
      </c>
      <c r="AX4">
        <v>266.7</v>
      </c>
      <c r="AY4">
        <v>1005.7078043023175</v>
      </c>
      <c r="AZ4">
        <v>13205.669389514984</v>
      </c>
      <c r="BA4">
        <v>3.8436721167803261</v>
      </c>
      <c r="BB4">
        <v>5677.4159026289699</v>
      </c>
      <c r="BC4">
        <v>474.89859999999999</v>
      </c>
      <c r="BD4">
        <v>364.44448059926521</v>
      </c>
      <c r="BE4">
        <v>1.0598224193945618</v>
      </c>
      <c r="BF4">
        <v>0.98716724103236286</v>
      </c>
      <c r="BG4">
        <v>1.0415395725331922</v>
      </c>
      <c r="BH4">
        <v>-6.6066607912539697</v>
      </c>
      <c r="BI4">
        <v>0.99977434068595739</v>
      </c>
      <c r="BJ4">
        <v>1.0018532413924217</v>
      </c>
      <c r="BK4">
        <v>0.99684789739474722</v>
      </c>
      <c r="BL4">
        <v>0.36692556988356861</v>
      </c>
      <c r="BM4">
        <v>0.99760909383709429</v>
      </c>
      <c r="BN4">
        <v>1.0004856033467955</v>
      </c>
      <c r="BO4">
        <v>0.99734481732832037</v>
      </c>
      <c r="BP4">
        <v>0.49608471445058944</v>
      </c>
      <c r="BQ4">
        <v>0.99987098084488213</v>
      </c>
      <c r="BR4">
        <v>0.99901321457588821</v>
      </c>
      <c r="BS4">
        <v>1.005210179174957</v>
      </c>
      <c r="BT4">
        <v>0.99831095176801776</v>
      </c>
      <c r="BU4">
        <v>1.0038816043741468</v>
      </c>
      <c r="BV4">
        <v>-0.62092516320536295</v>
      </c>
      <c r="BW4">
        <v>1</v>
      </c>
      <c r="BX4">
        <v>1</v>
      </c>
      <c r="BY4">
        <v>0</v>
      </c>
      <c r="BZ4">
        <v>1.0032312000000001</v>
      </c>
      <c r="CA4">
        <v>8388.3973506965012</v>
      </c>
      <c r="CB4">
        <v>8513.7857529069697</v>
      </c>
      <c r="CC4">
        <v>0.99678560000000005</v>
      </c>
      <c r="CD4">
        <v>-0.83440000000000003</v>
      </c>
      <c r="CE4">
        <v>0.99986109929960831</v>
      </c>
      <c r="CF4">
        <v>1.0000009508233891</v>
      </c>
      <c r="CG4">
        <v>0.99979944956896261</v>
      </c>
      <c r="CH4">
        <v>3.0341697694867206E-2</v>
      </c>
      <c r="CI4">
        <v>0.99509201211669052</v>
      </c>
      <c r="CJ4">
        <v>1.0016392961487157</v>
      </c>
      <c r="CK4">
        <v>0.99668423571248432</v>
      </c>
      <c r="CL4">
        <v>0.45768461019801698</v>
      </c>
      <c r="CM4" t="s">
        <v>381</v>
      </c>
      <c r="CN4" s="116" t="s">
        <v>382</v>
      </c>
      <c r="CO4" s="116" t="s">
        <v>383</v>
      </c>
      <c r="CP4">
        <v>-6.7140420392177091</v>
      </c>
      <c r="CQ4">
        <v>2.6847537805947237E-2</v>
      </c>
      <c r="CR4">
        <v>0.28507249544096669</v>
      </c>
      <c r="CS4">
        <v>1.5348410809133578E-2</v>
      </c>
      <c r="CT4">
        <v>-0.61652255025998803</v>
      </c>
      <c r="CU4">
        <v>0</v>
      </c>
      <c r="CV4">
        <v>-0.38310339040098235</v>
      </c>
      <c r="CW4">
        <v>1.6524105112783745E-2</v>
      </c>
      <c r="CX4">
        <v>0.58666938735784724</v>
      </c>
      <c r="CY4">
        <v>139.18383397076209</v>
      </c>
      <c r="CZ4">
        <v>-19.805571433141075</v>
      </c>
      <c r="DA4">
        <v>-5.1967320041090828</v>
      </c>
      <c r="DB4">
        <v>10.575745376775377</v>
      </c>
      <c r="DC4">
        <v>18.114890328808428</v>
      </c>
      <c r="DD4">
        <v>0</v>
      </c>
      <c r="DE4">
        <v>34.526905590794293</v>
      </c>
      <c r="DF4">
        <v>-1.018026156445629E-2</v>
      </c>
      <c r="DG4">
        <v>-17.52288284752283</v>
      </c>
    </row>
    <row r="5" spans="1:111" ht="198" hidden="1" x14ac:dyDescent="0.25">
      <c r="A5" s="34">
        <v>46104</v>
      </c>
      <c r="B5">
        <v>4</v>
      </c>
      <c r="C5" s="35">
        <v>46104.166666666664</v>
      </c>
      <c r="D5" t="s">
        <v>265</v>
      </c>
      <c r="E5">
        <v>119.13252491319442</v>
      </c>
      <c r="F5">
        <v>23.199928923862771</v>
      </c>
      <c r="G5">
        <v>1045.3786062791221</v>
      </c>
      <c r="H5">
        <v>119.13252491319442</v>
      </c>
      <c r="I5">
        <v>23.199928923862771</v>
      </c>
      <c r="J5">
        <v>112.04532135026884</v>
      </c>
      <c r="K5">
        <v>8774.9219370682731</v>
      </c>
      <c r="L5">
        <v>8910.7985811286289</v>
      </c>
      <c r="M5">
        <v>10615.690649730996</v>
      </c>
      <c r="N5">
        <v>10780.070963335274</v>
      </c>
      <c r="O5">
        <v>561.25905341759744</v>
      </c>
      <c r="P5">
        <v>37.143589567860495</v>
      </c>
      <c r="Q5">
        <v>422.70097984055758</v>
      </c>
      <c r="R5" s="100">
        <v>0.31652311117479998</v>
      </c>
      <c r="S5" s="118">
        <v>1.0632530076001123</v>
      </c>
      <c r="T5">
        <v>3.8436721167803261</v>
      </c>
      <c r="U5">
        <v>0.98475146275350489</v>
      </c>
      <c r="V5">
        <v>1.0386786310162306</v>
      </c>
      <c r="W5">
        <v>554.03362579745817</v>
      </c>
      <c r="X5">
        <v>439.05047507000961</v>
      </c>
      <c r="Y5">
        <v>18.046924333983529</v>
      </c>
      <c r="Z5">
        <v>554.03362579745817</v>
      </c>
      <c r="AA5">
        <v>358.10816799163814</v>
      </c>
      <c r="AB5">
        <v>11.128115479453673</v>
      </c>
      <c r="AC5">
        <v>11.067386031409919</v>
      </c>
      <c r="AD5">
        <v>0.84551150705685696</v>
      </c>
      <c r="AE5">
        <v>86.3091485807292</v>
      </c>
      <c r="AF5">
        <v>17.916704712600517</v>
      </c>
      <c r="AG5">
        <v>19.003691567681102</v>
      </c>
      <c r="AH5">
        <v>0.9108219104660874</v>
      </c>
      <c r="AI5">
        <v>3.5634579659463501</v>
      </c>
      <c r="AJ5" t="s">
        <v>200</v>
      </c>
      <c r="AL5">
        <v>19.376924617103999</v>
      </c>
      <c r="AM5">
        <v>87.171115826780607</v>
      </c>
      <c r="AN5">
        <v>1005.4872440404083</v>
      </c>
      <c r="AO5">
        <v>18.046924333983529</v>
      </c>
      <c r="AP5">
        <v>87.171115826780607</v>
      </c>
      <c r="AQ5">
        <v>94.730396507330695</v>
      </c>
      <c r="AR5">
        <v>1.000118252453704</v>
      </c>
      <c r="AS5">
        <v>3000.3547573611118</v>
      </c>
      <c r="AT5">
        <v>37.143589567860495</v>
      </c>
      <c r="AU5">
        <v>3.4800856839512457</v>
      </c>
      <c r="AV5">
        <v>88.394176372361642</v>
      </c>
      <c r="AW5">
        <v>0</v>
      </c>
      <c r="AX5">
        <v>266.7</v>
      </c>
      <c r="AY5">
        <v>1005.4872440404083</v>
      </c>
      <c r="AZ5">
        <v>13205.669389514984</v>
      </c>
      <c r="BA5">
        <v>3.8436721167803261</v>
      </c>
      <c r="BB5">
        <v>5677.4159026289699</v>
      </c>
      <c r="BC5">
        <v>474.89859999999999</v>
      </c>
      <c r="BD5">
        <v>364.61869766116843</v>
      </c>
      <c r="BE5">
        <v>1.0602090872998011</v>
      </c>
      <c r="BF5">
        <v>0.98709224754299785</v>
      </c>
      <c r="BG5">
        <v>1.0418071168736294</v>
      </c>
      <c r="BH5">
        <v>-6.6491325340024581</v>
      </c>
      <c r="BI5">
        <v>0.99977191040933433</v>
      </c>
      <c r="BJ5">
        <v>1.0018829317117213</v>
      </c>
      <c r="BK5">
        <v>0.99679688612660267</v>
      </c>
      <c r="BL5">
        <v>0.37298288149059822</v>
      </c>
      <c r="BM5">
        <v>1.0001388248000052</v>
      </c>
      <c r="BN5">
        <v>0.99997336819521809</v>
      </c>
      <c r="BO5">
        <v>1.0001592178080825</v>
      </c>
      <c r="BP5">
        <v>-2.9761432001437677E-2</v>
      </c>
      <c r="BQ5">
        <v>0.9998695018335102</v>
      </c>
      <c r="BR5">
        <v>0.99900082785564759</v>
      </c>
      <c r="BS5">
        <v>1.0050841546909022</v>
      </c>
      <c r="BT5">
        <v>0.99835191965894288</v>
      </c>
      <c r="BU5">
        <v>1.0037894209016602</v>
      </c>
      <c r="BV5">
        <v>-0.60625525067130404</v>
      </c>
      <c r="BW5">
        <v>1</v>
      </c>
      <c r="BX5">
        <v>1</v>
      </c>
      <c r="BY5">
        <v>0</v>
      </c>
      <c r="BZ5">
        <v>1.0032312000000001</v>
      </c>
      <c r="CA5">
        <v>8317.0201856262393</v>
      </c>
      <c r="CB5">
        <v>8445.8063787695937</v>
      </c>
      <c r="CC5">
        <v>0.99678560000000005</v>
      </c>
      <c r="CD5">
        <v>-0.83440000000000003</v>
      </c>
      <c r="CE5">
        <v>0.99970959899267742</v>
      </c>
      <c r="CF5">
        <v>1.0000019954578498</v>
      </c>
      <c r="CG5">
        <v>0.99958069270003946</v>
      </c>
      <c r="CH5">
        <v>6.3454104847359652E-2</v>
      </c>
      <c r="CI5">
        <v>0.99509201211669052</v>
      </c>
      <c r="CJ5">
        <v>1.0016392961487157</v>
      </c>
      <c r="CK5">
        <v>0.99668423571248432</v>
      </c>
      <c r="CL5">
        <v>0.45768461019801698</v>
      </c>
      <c r="CM5" t="s">
        <v>384</v>
      </c>
      <c r="CN5" s="116" t="s">
        <v>385</v>
      </c>
      <c r="CO5" s="116" t="s">
        <v>386</v>
      </c>
      <c r="CP5">
        <v>-6.7655151032637288</v>
      </c>
      <c r="CQ5">
        <v>2.7179088109508566E-2</v>
      </c>
      <c r="CR5">
        <v>-1.6536253303126251E-2</v>
      </c>
      <c r="CS5">
        <v>1.5548605134926367E-2</v>
      </c>
      <c r="CT5">
        <v>-0.60262434996073466</v>
      </c>
      <c r="CU5">
        <v>0</v>
      </c>
      <c r="CV5">
        <v>-0.38370119918471951</v>
      </c>
      <c r="CW5">
        <v>3.4606254930971012E-2</v>
      </c>
      <c r="CX5">
        <v>0.58758484809690548</v>
      </c>
      <c r="CY5">
        <v>138.81651629613486</v>
      </c>
      <c r="CZ5">
        <v>-19.951054093766505</v>
      </c>
      <c r="DA5">
        <v>0.28272253042061862</v>
      </c>
      <c r="DB5">
        <v>10.61751111161934</v>
      </c>
      <c r="DC5">
        <v>17.524392673620696</v>
      </c>
      <c r="DD5">
        <v>0</v>
      </c>
      <c r="DE5">
        <v>34.233114949186813</v>
      </c>
      <c r="DF5">
        <v>-2.1183120968827587E-2</v>
      </c>
      <c r="DG5">
        <v>-17.373780027374391</v>
      </c>
    </row>
    <row r="6" spans="1:111" ht="224.4" hidden="1" x14ac:dyDescent="0.25">
      <c r="A6" s="34">
        <v>46104</v>
      </c>
      <c r="B6">
        <v>5</v>
      </c>
      <c r="C6" s="35">
        <v>46104.208333333336</v>
      </c>
      <c r="D6" t="s">
        <v>265</v>
      </c>
      <c r="E6">
        <v>119.46643241753473</v>
      </c>
      <c r="F6">
        <v>23.438552044835628</v>
      </c>
      <c r="G6">
        <v>1056.1308592902078</v>
      </c>
      <c r="H6">
        <v>119.46643241753473</v>
      </c>
      <c r="I6">
        <v>23.438552044835628</v>
      </c>
      <c r="J6">
        <v>112.17189370852</v>
      </c>
      <c r="K6">
        <v>8840.3984108191526</v>
      </c>
      <c r="L6">
        <v>8979.8162515356198</v>
      </c>
      <c r="M6">
        <v>10694.902521376067</v>
      </c>
      <c r="N6">
        <v>10863.566889983997</v>
      </c>
      <c r="O6">
        <v>561.16284248830686</v>
      </c>
      <c r="P6">
        <v>37.032855794347107</v>
      </c>
      <c r="Q6">
        <v>421.87667608242919</v>
      </c>
      <c r="R6" s="100">
        <v>0.314090356745162</v>
      </c>
      <c r="S6" s="118">
        <v>1.0650300041110983</v>
      </c>
      <c r="T6">
        <v>3.8436721167803261</v>
      </c>
      <c r="U6">
        <v>0.9844743102964244</v>
      </c>
      <c r="V6">
        <v>1.0409365304614244</v>
      </c>
      <c r="W6">
        <v>553.5123754916043</v>
      </c>
      <c r="X6">
        <v>439.14684348384202</v>
      </c>
      <c r="Y6">
        <v>18.159418735976747</v>
      </c>
      <c r="Z6">
        <v>553.5123754916043</v>
      </c>
      <c r="AA6">
        <v>358.97188792458434</v>
      </c>
      <c r="AB6">
        <v>11.168665037761796</v>
      </c>
      <c r="AC6">
        <v>11.108897739468865</v>
      </c>
      <c r="AD6">
        <v>0.84579166151188601</v>
      </c>
      <c r="AE6">
        <v>86.305482077907996</v>
      </c>
      <c r="AF6">
        <v>18.089430821969806</v>
      </c>
      <c r="AG6">
        <v>19.184712286837897</v>
      </c>
      <c r="AH6">
        <v>0.95389846641107379</v>
      </c>
      <c r="AI6">
        <v>3.4247558227924086</v>
      </c>
      <c r="AJ6" t="s">
        <v>200</v>
      </c>
      <c r="AL6">
        <v>19.607556327967117</v>
      </c>
      <c r="AM6">
        <v>86.754640903805608</v>
      </c>
      <c r="AN6">
        <v>1005.3801285865278</v>
      </c>
      <c r="AO6">
        <v>18.159418735976747</v>
      </c>
      <c r="AP6">
        <v>86.754640903805608</v>
      </c>
      <c r="AQ6">
        <v>94.965297542471376</v>
      </c>
      <c r="AR6">
        <v>1.0022334102083332</v>
      </c>
      <c r="AS6">
        <v>3006.7002306249997</v>
      </c>
      <c r="AT6">
        <v>37.032855794347107</v>
      </c>
      <c r="AU6">
        <v>3.4966885248037851</v>
      </c>
      <c r="AV6">
        <v>88.815888530016139</v>
      </c>
      <c r="AW6">
        <v>0</v>
      </c>
      <c r="AX6">
        <v>266.7</v>
      </c>
      <c r="AY6">
        <v>1005.3801285865278</v>
      </c>
      <c r="AZ6">
        <v>13205.669389514984</v>
      </c>
      <c r="BA6">
        <v>3.8436721167803261</v>
      </c>
      <c r="BB6">
        <v>5677.4159026289699</v>
      </c>
      <c r="BC6">
        <v>474.89859999999999</v>
      </c>
      <c r="BD6">
        <v>364.29041538621601</v>
      </c>
      <c r="BE6">
        <v>1.0594804777239284</v>
      </c>
      <c r="BF6">
        <v>0.9872335599553782</v>
      </c>
      <c r="BG6">
        <v>1.0413029752943266</v>
      </c>
      <c r="BH6">
        <v>-6.5691017943128394</v>
      </c>
      <c r="BI6">
        <v>0.99976691799754425</v>
      </c>
      <c r="BJ6">
        <v>1.0019103172255484</v>
      </c>
      <c r="BK6">
        <v>0.99675221517087842</v>
      </c>
      <c r="BL6">
        <v>0.37786778043844593</v>
      </c>
      <c r="BM6">
        <v>1.0026284734319739</v>
      </c>
      <c r="BN6">
        <v>0.99949487115859181</v>
      </c>
      <c r="BO6">
        <v>1.0030113932294829</v>
      </c>
      <c r="BP6">
        <v>-0.56259567208133288</v>
      </c>
      <c r="BQ6">
        <v>0.99987076736235025</v>
      </c>
      <c r="BR6">
        <v>0.9990114266596839</v>
      </c>
      <c r="BS6">
        <v>1.0050324106464601</v>
      </c>
      <c r="BT6">
        <v>0.99836745369786051</v>
      </c>
      <c r="BU6">
        <v>1.0037482187497566</v>
      </c>
      <c r="BV6">
        <v>-0.59941845972735008</v>
      </c>
      <c r="BW6">
        <v>1</v>
      </c>
      <c r="BX6">
        <v>1</v>
      </c>
      <c r="BY6">
        <v>0</v>
      </c>
      <c r="BZ6">
        <v>1.0032312000000001</v>
      </c>
      <c r="CA6">
        <v>8379.0799005473764</v>
      </c>
      <c r="CB6">
        <v>8511.2225000817361</v>
      </c>
      <c r="CC6">
        <v>0.99678560000000005</v>
      </c>
      <c r="CD6">
        <v>-0.83440000000000003</v>
      </c>
      <c r="CE6">
        <v>0.99963598073669102</v>
      </c>
      <c r="CF6">
        <v>1.0000024834557697</v>
      </c>
      <c r="CG6">
        <v>0.99947443051465024</v>
      </c>
      <c r="CH6">
        <v>7.9496538782549295E-2</v>
      </c>
      <c r="CI6">
        <v>0.99509201211669052</v>
      </c>
      <c r="CJ6">
        <v>1.0016392961487157</v>
      </c>
      <c r="CK6">
        <v>0.99668423571248432</v>
      </c>
      <c r="CL6">
        <v>0.45768461019801698</v>
      </c>
      <c r="CM6" t="s">
        <v>387</v>
      </c>
      <c r="CN6" s="116" t="s">
        <v>388</v>
      </c>
      <c r="CO6" s="116" t="s">
        <v>389</v>
      </c>
      <c r="CP6">
        <v>-6.7069857553524308</v>
      </c>
      <c r="CQ6">
        <v>2.7851967086393488E-2</v>
      </c>
      <c r="CR6">
        <v>-0.31319112906033358</v>
      </c>
      <c r="CS6">
        <v>1.5440957647594946E-2</v>
      </c>
      <c r="CT6">
        <v>-0.59819378959718961</v>
      </c>
      <c r="CU6">
        <v>0</v>
      </c>
      <c r="CV6">
        <v>-0.38477664612857898</v>
      </c>
      <c r="CW6">
        <v>4.3503918983332224E-2</v>
      </c>
      <c r="CX6">
        <v>0.58923174503255915</v>
      </c>
      <c r="CY6">
        <v>138.30144897869312</v>
      </c>
      <c r="CZ6">
        <v>-20.391701892760679</v>
      </c>
      <c r="DA6">
        <v>5.4050339581380671</v>
      </c>
      <c r="DB6">
        <v>10.583157737506383</v>
      </c>
      <c r="DC6">
        <v>17.48847430707384</v>
      </c>
      <c r="DD6">
        <v>0</v>
      </c>
      <c r="DE6">
        <v>34.488554674856921</v>
      </c>
      <c r="DF6">
        <v>-2.6560251412133536E-2</v>
      </c>
      <c r="DG6">
        <v>-17.503419226454948</v>
      </c>
    </row>
    <row r="7" spans="1:111" ht="224.4" hidden="1" x14ac:dyDescent="0.25">
      <c r="A7" s="34">
        <v>46104</v>
      </c>
      <c r="B7">
        <v>6</v>
      </c>
      <c r="C7" s="35">
        <v>46104.25</v>
      </c>
      <c r="D7" t="s">
        <v>265</v>
      </c>
      <c r="E7">
        <v>119.48224178385416</v>
      </c>
      <c r="F7">
        <v>23.530104092212781</v>
      </c>
      <c r="G7">
        <v>1060.2561543289648</v>
      </c>
      <c r="H7">
        <v>119.48224178385416</v>
      </c>
      <c r="I7">
        <v>23.530104092212781</v>
      </c>
      <c r="J7">
        <v>112.219257002264</v>
      </c>
      <c r="K7">
        <v>8873.755116237191</v>
      </c>
      <c r="L7">
        <v>9013.1322999508739</v>
      </c>
      <c r="M7">
        <v>10735.256665646712</v>
      </c>
      <c r="N7">
        <v>10903.871848385252</v>
      </c>
      <c r="O7">
        <v>561.08133070665372</v>
      </c>
      <c r="P7">
        <v>36.931288216256036</v>
      </c>
      <c r="Q7">
        <v>422.21951275531802</v>
      </c>
      <c r="R7" s="100">
        <v>0.31292935641987601</v>
      </c>
      <c r="S7" s="118">
        <v>1.0647213764874921</v>
      </c>
      <c r="T7">
        <v>3.8436721167803261</v>
      </c>
      <c r="U7">
        <v>0.98453621015699022</v>
      </c>
      <c r="V7">
        <v>1.0406087290506738</v>
      </c>
      <c r="W7">
        <v>553.50531358215312</v>
      </c>
      <c r="X7">
        <v>439.36531054870625</v>
      </c>
      <c r="Y7">
        <v>18.128420149630976</v>
      </c>
      <c r="Z7">
        <v>553.50531358215312</v>
      </c>
      <c r="AA7">
        <v>358.82013805924305</v>
      </c>
      <c r="AB7">
        <v>11.164571073016589</v>
      </c>
      <c r="AC7">
        <v>11.102159429636922</v>
      </c>
      <c r="AD7">
        <v>0.84570656645886599</v>
      </c>
      <c r="AE7">
        <v>86.306510481770815</v>
      </c>
      <c r="AF7">
        <v>17.907411440364299</v>
      </c>
      <c r="AG7">
        <v>18.997900669914351</v>
      </c>
      <c r="AH7">
        <v>0.84496138561532497</v>
      </c>
      <c r="AI7">
        <v>3.5953226107082665</v>
      </c>
      <c r="AJ7" t="s">
        <v>200</v>
      </c>
      <c r="AL7">
        <v>19.332918951146869</v>
      </c>
      <c r="AM7">
        <v>87.453668726092417</v>
      </c>
      <c r="AN7">
        <v>1005.6215769351195</v>
      </c>
      <c r="AO7">
        <v>18.128420149630976</v>
      </c>
      <c r="AP7">
        <v>87.453668726092417</v>
      </c>
      <c r="AQ7">
        <v>94.293532380208973</v>
      </c>
      <c r="AR7">
        <v>1.001682746412037</v>
      </c>
      <c r="AS7">
        <v>3005.0482392361114</v>
      </c>
      <c r="AT7">
        <v>36.931288216256036</v>
      </c>
      <c r="AU7">
        <v>3.4972034253191953</v>
      </c>
      <c r="AV7">
        <v>88.82896700310755</v>
      </c>
      <c r="AW7">
        <v>0</v>
      </c>
      <c r="AX7">
        <v>266.7</v>
      </c>
      <c r="AY7">
        <v>1005.6215769351195</v>
      </c>
      <c r="AZ7">
        <v>13205.669389514984</v>
      </c>
      <c r="BA7">
        <v>3.8436721167803261</v>
      </c>
      <c r="BB7">
        <v>5677.4159026289699</v>
      </c>
      <c r="BC7">
        <v>474.89859999999999</v>
      </c>
      <c r="BD7">
        <v>364.38087576704913</v>
      </c>
      <c r="BE7">
        <v>1.0596812509753069</v>
      </c>
      <c r="BF7">
        <v>0.98719462037314754</v>
      </c>
      <c r="BG7">
        <v>1.0414418948849873</v>
      </c>
      <c r="BH7">
        <v>-6.5911548009569749</v>
      </c>
      <c r="BI7">
        <v>0.99977117241877766</v>
      </c>
      <c r="BJ7">
        <v>1.0018777604365228</v>
      </c>
      <c r="BK7">
        <v>0.99680677616644897</v>
      </c>
      <c r="BL7">
        <v>0.37163100253084536</v>
      </c>
      <c r="BM7">
        <v>1.0019790507445898</v>
      </c>
      <c r="BN7">
        <v>0.99961985856652191</v>
      </c>
      <c r="BO7">
        <v>1.0022680236521415</v>
      </c>
      <c r="BP7">
        <v>-0.42378025781254219</v>
      </c>
      <c r="BQ7">
        <v>0.9998719281346713</v>
      </c>
      <c r="BR7">
        <v>0.99902114812787257</v>
      </c>
      <c r="BS7">
        <v>1.0050296757028472</v>
      </c>
      <c r="BT7">
        <v>0.99836862022514705</v>
      </c>
      <c r="BU7">
        <v>1.0037469406465873</v>
      </c>
      <c r="BV7">
        <v>-0.59927503275169913</v>
      </c>
      <c r="BW7">
        <v>1</v>
      </c>
      <c r="BX7">
        <v>1</v>
      </c>
      <c r="BY7">
        <v>0</v>
      </c>
      <c r="BZ7">
        <v>1.0032312000000001</v>
      </c>
      <c r="CA7">
        <v>8410.6959530065851</v>
      </c>
      <c r="CB7">
        <v>8542.8000171425374</v>
      </c>
      <c r="CC7">
        <v>0.99678560000000005</v>
      </c>
      <c r="CD7">
        <v>-0.83440000000000003</v>
      </c>
      <c r="CE7">
        <v>0.99980186037918706</v>
      </c>
      <c r="CF7">
        <v>1.0000013544506645</v>
      </c>
      <c r="CG7">
        <v>0.99971392166848883</v>
      </c>
      <c r="CH7">
        <v>4.3277354291728888E-2</v>
      </c>
      <c r="CI7">
        <v>0.99509201211669052</v>
      </c>
      <c r="CJ7">
        <v>1.0016392961487157</v>
      </c>
      <c r="CK7">
        <v>0.99668423571248432</v>
      </c>
      <c r="CL7">
        <v>0.45768461019801698</v>
      </c>
      <c r="CM7" t="s">
        <v>390</v>
      </c>
      <c r="CN7" s="116" t="s">
        <v>391</v>
      </c>
      <c r="CO7" s="116" t="s">
        <v>392</v>
      </c>
      <c r="CP7">
        <v>-6.7292401865480009</v>
      </c>
      <c r="CQ7">
        <v>2.7347090154927211E-2</v>
      </c>
      <c r="CR7">
        <v>-0.23599437472457696</v>
      </c>
      <c r="CS7">
        <v>1.5304273625771051E-2</v>
      </c>
      <c r="CT7">
        <v>-0.59794943666881639</v>
      </c>
      <c r="CU7">
        <v>0</v>
      </c>
      <c r="CV7">
        <v>-0.38482756482453995</v>
      </c>
      <c r="CW7">
        <v>2.36788578008378E-2</v>
      </c>
      <c r="CX7">
        <v>0.58930971991065462</v>
      </c>
      <c r="CY7">
        <v>139.25221446541292</v>
      </c>
      <c r="CZ7">
        <v>-20.120458841091942</v>
      </c>
      <c r="DA7">
        <v>4.0824677727846179</v>
      </c>
      <c r="DB7">
        <v>10.518522160045803</v>
      </c>
      <c r="DC7">
        <v>17.541898099963703</v>
      </c>
      <c r="DD7">
        <v>0</v>
      </c>
      <c r="DE7">
        <v>34.618687334622024</v>
      </c>
      <c r="DF7">
        <v>-1.454035583034323E-2</v>
      </c>
      <c r="DG7">
        <v>-17.569463353858836</v>
      </c>
    </row>
    <row r="8" spans="1:111" ht="224.4" hidden="1" x14ac:dyDescent="0.25">
      <c r="A8" s="34">
        <v>46104</v>
      </c>
      <c r="B8">
        <v>20</v>
      </c>
      <c r="C8" s="35">
        <v>46104.833333333336</v>
      </c>
      <c r="D8" t="s">
        <v>265</v>
      </c>
      <c r="E8">
        <v>118.64911659722223</v>
      </c>
      <c r="F8">
        <v>23.064834110944009</v>
      </c>
      <c r="G8">
        <v>1039.2912933520859</v>
      </c>
      <c r="H8">
        <v>118.64911659722223</v>
      </c>
      <c r="I8">
        <v>23.064834110944009</v>
      </c>
      <c r="J8">
        <v>114.19686501865665</v>
      </c>
      <c r="K8">
        <v>8759.368153411242</v>
      </c>
      <c r="L8">
        <v>8855.0455064781254</v>
      </c>
      <c r="M8">
        <v>10596.874054333333</v>
      </c>
      <c r="N8">
        <v>10712.62222732306</v>
      </c>
      <c r="O8">
        <v>559.36271083229121</v>
      </c>
      <c r="P8">
        <v>33.570332014398581</v>
      </c>
      <c r="Q8">
        <v>426.17297021524502</v>
      </c>
      <c r="R8" s="100">
        <v>0.31851600174018702</v>
      </c>
      <c r="S8" s="118">
        <v>1.0389875114158187</v>
      </c>
      <c r="T8">
        <v>3.8436721167803261</v>
      </c>
      <c r="U8">
        <v>0.98919515964125893</v>
      </c>
      <c r="V8">
        <v>1.0207850955525921</v>
      </c>
      <c r="W8">
        <v>555.03871562374536</v>
      </c>
      <c r="X8">
        <v>435.03101612310087</v>
      </c>
      <c r="Y8">
        <v>21.320123652735813</v>
      </c>
      <c r="Z8">
        <v>555.03871562374536</v>
      </c>
      <c r="AA8">
        <v>359.56713406543304</v>
      </c>
      <c r="AB8">
        <v>11.05006182759656</v>
      </c>
      <c r="AC8">
        <v>11.008559148912651</v>
      </c>
      <c r="AD8">
        <v>0.85696903236245903</v>
      </c>
      <c r="AE8">
        <v>86.129254462890628</v>
      </c>
      <c r="AF8">
        <v>21.126610096558228</v>
      </c>
      <c r="AG8">
        <v>20.936066603438594</v>
      </c>
      <c r="AH8">
        <v>0.97676023254247246</v>
      </c>
      <c r="AI8">
        <v>0.95490897272763131</v>
      </c>
      <c r="AJ8" t="s">
        <v>200</v>
      </c>
      <c r="AL8">
        <v>29.453438518195675</v>
      </c>
      <c r="AM8">
        <v>48.281451655850937</v>
      </c>
      <c r="AN8">
        <v>1003.7700373066541</v>
      </c>
      <c r="AO8">
        <v>21.320123652735813</v>
      </c>
      <c r="AP8">
        <v>48.281451655850937</v>
      </c>
      <c r="AQ8">
        <v>78.272879354687447</v>
      </c>
      <c r="AR8">
        <v>0.99860425976851852</v>
      </c>
      <c r="AS8">
        <v>2995.8127793055555</v>
      </c>
      <c r="AT8">
        <v>33.570332014398581</v>
      </c>
      <c r="AU8">
        <v>3.4268867526796138</v>
      </c>
      <c r="AV8">
        <v>87.042923518062182</v>
      </c>
      <c r="AW8">
        <v>0</v>
      </c>
      <c r="AX8">
        <v>266.7</v>
      </c>
      <c r="AY8">
        <v>1003.7700373066541</v>
      </c>
      <c r="AZ8">
        <v>13205.669389514984</v>
      </c>
      <c r="BA8">
        <v>3.8436721167803261</v>
      </c>
      <c r="BB8">
        <v>5677.4159026289699</v>
      </c>
      <c r="BC8">
        <v>474.89859999999999</v>
      </c>
      <c r="BD8">
        <v>355.072712092497</v>
      </c>
      <c r="BE8">
        <v>1.0389996135927391</v>
      </c>
      <c r="BF8">
        <v>0.99124754770497359</v>
      </c>
      <c r="BG8">
        <v>1.0271268057885587</v>
      </c>
      <c r="BH8">
        <v>-4.3182628872812465</v>
      </c>
      <c r="BI8">
        <v>0.99977974285215954</v>
      </c>
      <c r="BJ8">
        <v>1.0015409824079344</v>
      </c>
      <c r="BK8">
        <v>0.99740528891768487</v>
      </c>
      <c r="BL8">
        <v>0.29608823329126621</v>
      </c>
      <c r="BM8">
        <v>0.99811015147650495</v>
      </c>
      <c r="BN8">
        <v>1.0003928317983921</v>
      </c>
      <c r="BO8">
        <v>0.997941049521893</v>
      </c>
      <c r="BP8">
        <v>0.37832077327723701</v>
      </c>
      <c r="BQ8">
        <v>0.99991038697372525</v>
      </c>
      <c r="BR8">
        <v>0.99934283780731836</v>
      </c>
      <c r="BS8">
        <v>1.0053739154505807</v>
      </c>
      <c r="BT8">
        <v>0.99822733431379085</v>
      </c>
      <c r="BU8">
        <v>1.003921917359532</v>
      </c>
      <c r="BV8">
        <v>-0.62049013205221637</v>
      </c>
      <c r="BW8">
        <v>1</v>
      </c>
      <c r="BX8">
        <v>1</v>
      </c>
      <c r="BY8">
        <v>0</v>
      </c>
      <c r="BZ8">
        <v>1.0032312000000001</v>
      </c>
      <c r="CA8">
        <v>8302.2780450617829</v>
      </c>
      <c r="CB8">
        <v>8392.962666813577</v>
      </c>
      <c r="CC8">
        <v>0.99678560000000005</v>
      </c>
      <c r="CD8">
        <v>-0.83440000000000003</v>
      </c>
      <c r="CE8">
        <v>0.99852552834060626</v>
      </c>
      <c r="CF8">
        <v>1.0000080327326426</v>
      </c>
      <c r="CG8">
        <v>0.99787508136006076</v>
      </c>
      <c r="CH8">
        <v>0.31706419402104341</v>
      </c>
      <c r="CI8">
        <v>0.99509201211669052</v>
      </c>
      <c r="CJ8">
        <v>1.0016392961487157</v>
      </c>
      <c r="CK8">
        <v>0.99668423571248432</v>
      </c>
      <c r="CL8">
        <v>0.45768461019801698</v>
      </c>
      <c r="CM8" t="s">
        <v>393</v>
      </c>
      <c r="CN8" s="116" t="s">
        <v>394</v>
      </c>
      <c r="CO8" s="116" t="s">
        <v>395</v>
      </c>
      <c r="CP8">
        <v>-4.4535817336937784</v>
      </c>
      <c r="CQ8">
        <v>2.6139073333232996E-2</v>
      </c>
      <c r="CR8">
        <v>0.22465341874696315</v>
      </c>
      <c r="CS8">
        <v>1.0633459299578448E-2</v>
      </c>
      <c r="CT8">
        <v>-0.63420217202851914</v>
      </c>
      <c r="CU8">
        <v>0</v>
      </c>
      <c r="CV8">
        <v>-0.3821442410771872</v>
      </c>
      <c r="CW8">
        <v>0.17520309182824378</v>
      </c>
      <c r="CX8">
        <v>0.58520058400012531</v>
      </c>
      <c r="CY8">
        <v>93.567580420949923</v>
      </c>
      <c r="CZ8">
        <v>-16.30447159292855</v>
      </c>
      <c r="DA8">
        <v>-4.1611544583087161</v>
      </c>
      <c r="DB8">
        <v>6.9684443873094359</v>
      </c>
      <c r="DC8">
        <v>18.818073169784657</v>
      </c>
      <c r="DD8">
        <v>0</v>
      </c>
      <c r="DE8">
        <v>34.17243583800559</v>
      </c>
      <c r="DF8">
        <v>-8.5121172370197382E-2</v>
      </c>
      <c r="DG8">
        <v>-17.342984537934299</v>
      </c>
    </row>
    <row r="9" spans="1:111" ht="224.4" hidden="1" x14ac:dyDescent="0.25">
      <c r="A9" s="34">
        <v>46104</v>
      </c>
      <c r="B9">
        <v>21</v>
      </c>
      <c r="C9" s="35">
        <v>46104.875</v>
      </c>
      <c r="D9" t="s">
        <v>265</v>
      </c>
      <c r="E9">
        <v>119.59233264756946</v>
      </c>
      <c r="F9">
        <v>22.810141442351345</v>
      </c>
      <c r="G9">
        <v>1027.8149535841196</v>
      </c>
      <c r="H9">
        <v>119.59233264756946</v>
      </c>
      <c r="I9">
        <v>22.810141442351345</v>
      </c>
      <c r="J9">
        <v>114.21471570605836</v>
      </c>
      <c r="K9">
        <v>8594.3214822393438</v>
      </c>
      <c r="L9">
        <v>8702.4147236833014</v>
      </c>
      <c r="M9">
        <v>10397.204539721773</v>
      </c>
      <c r="N9">
        <v>10527.973157462789</v>
      </c>
      <c r="O9">
        <v>559.53510946455322</v>
      </c>
      <c r="P9">
        <v>34.539598394869692</v>
      </c>
      <c r="Q9">
        <v>423.49450968805968</v>
      </c>
      <c r="R9" s="100">
        <v>0.32410242208694201</v>
      </c>
      <c r="S9" s="118">
        <v>1.0470833982142098</v>
      </c>
      <c r="T9">
        <v>3.8436721167803261</v>
      </c>
      <c r="U9">
        <v>0.98757893701046151</v>
      </c>
      <c r="V9">
        <v>1.0284053035662373</v>
      </c>
      <c r="W9">
        <v>553.91217746582026</v>
      </c>
      <c r="X9">
        <v>435.52399979438383</v>
      </c>
      <c r="Y9">
        <v>20.761640216259956</v>
      </c>
      <c r="Z9">
        <v>553.91217746582026</v>
      </c>
      <c r="AA9">
        <v>359.62860132127543</v>
      </c>
      <c r="AB9">
        <v>11.135606710090903</v>
      </c>
      <c r="AC9">
        <v>11.08738337974745</v>
      </c>
      <c r="AD9">
        <v>0.85729079323578805</v>
      </c>
      <c r="AE9">
        <v>86.153982154947911</v>
      </c>
      <c r="AF9">
        <v>20.656074545657688</v>
      </c>
      <c r="AG9">
        <v>20.537451937580634</v>
      </c>
      <c r="AH9">
        <v>0.98683197413460688</v>
      </c>
      <c r="AI9">
        <v>0.97244300813132312</v>
      </c>
      <c r="AJ9" t="s">
        <v>200</v>
      </c>
      <c r="AL9">
        <v>28.6728928357633</v>
      </c>
      <c r="AM9">
        <v>49.163914470106754</v>
      </c>
      <c r="AN9">
        <v>1004.3493878304541</v>
      </c>
      <c r="AO9">
        <v>20.761640216259956</v>
      </c>
      <c r="AP9">
        <v>49.163914470106754</v>
      </c>
      <c r="AQ9">
        <v>78.847957870224988</v>
      </c>
      <c r="AR9">
        <v>1.0017526005787041</v>
      </c>
      <c r="AS9">
        <v>3005.257801736112</v>
      </c>
      <c r="AT9">
        <v>34.539598394869692</v>
      </c>
      <c r="AU9">
        <v>3.4773607851465549</v>
      </c>
      <c r="AV9">
        <v>88.324963942722491</v>
      </c>
      <c r="AW9">
        <v>0</v>
      </c>
      <c r="AX9">
        <v>266.7</v>
      </c>
      <c r="AY9">
        <v>1004.3493878304541</v>
      </c>
      <c r="AZ9">
        <v>13205.669389514984</v>
      </c>
      <c r="BA9">
        <v>3.8436721167803261</v>
      </c>
      <c r="BB9">
        <v>5677.4159026289699</v>
      </c>
      <c r="BC9">
        <v>474.89859999999999</v>
      </c>
      <c r="BD9">
        <v>356.69658696150066</v>
      </c>
      <c r="BE9">
        <v>1.0426262747104273</v>
      </c>
      <c r="BF9">
        <v>0.99050239990128952</v>
      </c>
      <c r="BG9">
        <v>1.0296411679197239</v>
      </c>
      <c r="BH9">
        <v>-4.7178300313335804</v>
      </c>
      <c r="BI9">
        <v>0.99978749732622529</v>
      </c>
      <c r="BJ9">
        <v>1.0015132584394482</v>
      </c>
      <c r="BK9">
        <v>0.99744716355059215</v>
      </c>
      <c r="BL9">
        <v>0.29222717197423853</v>
      </c>
      <c r="BM9">
        <v>1.0021809204972105</v>
      </c>
      <c r="BN9">
        <v>0.99956478224091594</v>
      </c>
      <c r="BO9">
        <v>1.0024407656366867</v>
      </c>
      <c r="BP9">
        <v>-0.45051080349613387</v>
      </c>
      <c r="BQ9">
        <v>0.99989926173263</v>
      </c>
      <c r="BR9">
        <v>0.99925006701077679</v>
      </c>
      <c r="BS9">
        <v>1.005183288972892</v>
      </c>
      <c r="BT9">
        <v>0.99829451689049087</v>
      </c>
      <c r="BU9">
        <v>1.0037963049216247</v>
      </c>
      <c r="BV9">
        <v>-0.60184326424960288</v>
      </c>
      <c r="BW9">
        <v>1</v>
      </c>
      <c r="BX9">
        <v>1</v>
      </c>
      <c r="BY9">
        <v>0</v>
      </c>
      <c r="BZ9">
        <v>1.0032312000000001</v>
      </c>
      <c r="CA9">
        <v>8145.8440043316486</v>
      </c>
      <c r="CB9">
        <v>8248.2966161573368</v>
      </c>
      <c r="CC9">
        <v>0.99678560000000005</v>
      </c>
      <c r="CD9">
        <v>-0.83440000000000003</v>
      </c>
      <c r="CE9">
        <v>0.99892526853680463</v>
      </c>
      <c r="CF9">
        <v>1.0000061153767856</v>
      </c>
      <c r="CG9">
        <v>0.99845065924828669</v>
      </c>
      <c r="CH9">
        <v>0.23174031817415544</v>
      </c>
      <c r="CI9">
        <v>0.99509201211669052</v>
      </c>
      <c r="CJ9">
        <v>1.0016392961487157</v>
      </c>
      <c r="CK9">
        <v>0.99668423571248432</v>
      </c>
      <c r="CL9">
        <v>0.45768461019801698</v>
      </c>
      <c r="CM9" t="s">
        <v>396</v>
      </c>
      <c r="CN9" s="116" t="s">
        <v>397</v>
      </c>
      <c r="CO9" s="116" t="s">
        <v>398</v>
      </c>
      <c r="CP9">
        <v>-4.8893604049177926</v>
      </c>
      <c r="CQ9">
        <v>2.5419092075582621E-2</v>
      </c>
      <c r="CR9">
        <v>-0.26025377678403783</v>
      </c>
      <c r="CS9">
        <v>1.2048738150656286E-2</v>
      </c>
      <c r="CT9">
        <v>-0.61668516165642051</v>
      </c>
      <c r="CU9">
        <v>0</v>
      </c>
      <c r="CV9">
        <v>-0.3851821447048675</v>
      </c>
      <c r="CW9">
        <v>0.1286679261217715</v>
      </c>
      <c r="CX9">
        <v>0.58985270952226687</v>
      </c>
      <c r="CY9">
        <v>99.695357500007987</v>
      </c>
      <c r="CZ9">
        <v>-15.709884401249377</v>
      </c>
      <c r="DA9">
        <v>4.5270182992765946</v>
      </c>
      <c r="DB9">
        <v>7.8030584509880478</v>
      </c>
      <c r="DC9">
        <v>17.762550458394699</v>
      </c>
      <c r="DD9">
        <v>0</v>
      </c>
      <c r="DE9">
        <v>33.52854843858151</v>
      </c>
      <c r="DF9">
        <v>-6.3582434446758512E-2</v>
      </c>
      <c r="DG9">
        <v>-17.016202763719562</v>
      </c>
    </row>
    <row r="10" spans="1:111" ht="224.4" hidden="1" x14ac:dyDescent="0.25">
      <c r="A10" s="34">
        <v>46104</v>
      </c>
      <c r="B10">
        <v>22</v>
      </c>
      <c r="C10" s="35">
        <v>46104.916666666664</v>
      </c>
      <c r="D10" t="s">
        <v>265</v>
      </c>
      <c r="E10">
        <v>120.04106123697916</v>
      </c>
      <c r="F10">
        <v>23.089099219152665</v>
      </c>
      <c r="G10">
        <v>1040.3846684690366</v>
      </c>
      <c r="H10">
        <v>120.04106123697916</v>
      </c>
      <c r="I10">
        <v>23.089099219152665</v>
      </c>
      <c r="J10">
        <v>114.3437376777586</v>
      </c>
      <c r="K10">
        <v>8666.9066213531733</v>
      </c>
      <c r="L10">
        <v>8778.9259150680919</v>
      </c>
      <c r="M10">
        <v>10485.016304672648</v>
      </c>
      <c r="N10">
        <v>10620.534566533815</v>
      </c>
      <c r="O10">
        <v>552.68293233881184</v>
      </c>
      <c r="P10">
        <v>33.69851454349412</v>
      </c>
      <c r="Q10">
        <v>423.17596908369489</v>
      </c>
      <c r="R10" s="100">
        <v>0.321277764186366</v>
      </c>
      <c r="S10" s="118">
        <v>1.0498262841055332</v>
      </c>
      <c r="T10">
        <v>3.8436721167803261</v>
      </c>
      <c r="U10">
        <v>0.98723997732767643</v>
      </c>
      <c r="V10">
        <v>1.0307438335983437</v>
      </c>
      <c r="W10">
        <v>546.68666421147657</v>
      </c>
      <c r="X10">
        <v>436.18602066002182</v>
      </c>
      <c r="Y10">
        <v>20.4478228799661</v>
      </c>
      <c r="Z10">
        <v>546.68666421147657</v>
      </c>
      <c r="AA10">
        <v>355.88778044016522</v>
      </c>
      <c r="AB10">
        <v>11.205347670315373</v>
      </c>
      <c r="AC10">
        <v>11.150204749316206</v>
      </c>
      <c r="AD10">
        <v>0.86793617750653895</v>
      </c>
      <c r="AE10">
        <v>86.136775483940966</v>
      </c>
      <c r="AF10">
        <v>20.326374533247098</v>
      </c>
      <c r="AG10">
        <v>20.335971730646545</v>
      </c>
      <c r="AH10">
        <v>0.98380358875684215</v>
      </c>
      <c r="AI10">
        <v>0.9850643597904355</v>
      </c>
      <c r="AJ10" t="s">
        <v>200</v>
      </c>
      <c r="AL10">
        <v>27.824847182261152</v>
      </c>
      <c r="AM10">
        <v>51.189621636301688</v>
      </c>
      <c r="AN10">
        <v>1004.945462638482</v>
      </c>
      <c r="AO10">
        <v>20.4478228799661</v>
      </c>
      <c r="AP10">
        <v>51.189621636301688</v>
      </c>
      <c r="AQ10">
        <v>79.674353369044127</v>
      </c>
      <c r="AR10">
        <v>1.0020461753240739</v>
      </c>
      <c r="AS10">
        <v>3006.1385259722219</v>
      </c>
      <c r="AT10">
        <v>33.69851454349412</v>
      </c>
      <c r="AU10">
        <v>3.5041823664965213</v>
      </c>
      <c r="AV10">
        <v>89.006232109011634</v>
      </c>
      <c r="AW10">
        <v>0</v>
      </c>
      <c r="AX10">
        <v>266.7</v>
      </c>
      <c r="AY10">
        <v>1004.945462638482</v>
      </c>
      <c r="AZ10">
        <v>13205.669389514984</v>
      </c>
      <c r="BA10">
        <v>3.8436721167803261</v>
      </c>
      <c r="BB10">
        <v>5677.4159026289699</v>
      </c>
      <c r="BC10">
        <v>474.89859999999999</v>
      </c>
      <c r="BD10">
        <v>357.61237181170384</v>
      </c>
      <c r="BE10">
        <v>1.0446588231061456</v>
      </c>
      <c r="BF10">
        <v>0.99010819108687098</v>
      </c>
      <c r="BG10">
        <v>1.0310475345008927</v>
      </c>
      <c r="BH10">
        <v>-4.9410858832339928</v>
      </c>
      <c r="BI10">
        <v>0.99978840092975485</v>
      </c>
      <c r="BJ10">
        <v>1.0015213569985866</v>
      </c>
      <c r="BK10">
        <v>0.9974306162151203</v>
      </c>
      <c r="BL10">
        <v>0.29475323343749027</v>
      </c>
      <c r="BM10">
        <v>1.0025295851752041</v>
      </c>
      <c r="BN10">
        <v>0.99949734735431039</v>
      </c>
      <c r="BO10">
        <v>1.0028386783817498</v>
      </c>
      <c r="BP10">
        <v>-0.52470346474908336</v>
      </c>
      <c r="BQ10">
        <v>0.99990887411950291</v>
      </c>
      <c r="BR10">
        <v>0.99933057075083698</v>
      </c>
      <c r="BS10">
        <v>1.0050819356483363</v>
      </c>
      <c r="BT10">
        <v>0.99833030827145575</v>
      </c>
      <c r="BU10">
        <v>1.0037295709819483</v>
      </c>
      <c r="BV10">
        <v>-0.59192261915512179</v>
      </c>
      <c r="BW10">
        <v>1</v>
      </c>
      <c r="BX10">
        <v>1</v>
      </c>
      <c r="BY10">
        <v>0</v>
      </c>
      <c r="BZ10">
        <v>1.0032312000000001</v>
      </c>
      <c r="CA10">
        <v>8214.6414331311007</v>
      </c>
      <c r="CB10">
        <v>8320.8152240420932</v>
      </c>
      <c r="CC10">
        <v>0.99678560000000005</v>
      </c>
      <c r="CD10">
        <v>-0.83440000000000003</v>
      </c>
      <c r="CE10">
        <v>0.99933595516126839</v>
      </c>
      <c r="CF10">
        <v>1.0000038689838417</v>
      </c>
      <c r="CG10">
        <v>0.99904253321204051</v>
      </c>
      <c r="CH10">
        <v>0.1434059961674288</v>
      </c>
      <c r="CI10">
        <v>0.99509201211669052</v>
      </c>
      <c r="CJ10">
        <v>1.0016392961487157</v>
      </c>
      <c r="CK10">
        <v>0.99668423571248432</v>
      </c>
      <c r="CL10">
        <v>0.45768461019801698</v>
      </c>
      <c r="CM10" t="s">
        <v>399</v>
      </c>
      <c r="CN10" s="116" t="s">
        <v>400</v>
      </c>
      <c r="CO10" s="116" t="s">
        <v>401</v>
      </c>
      <c r="CP10">
        <v>-5.1317161169580476</v>
      </c>
      <c r="CQ10">
        <v>2.5405952824992948E-2</v>
      </c>
      <c r="CR10">
        <v>-0.30288790815859878</v>
      </c>
      <c r="CS10">
        <v>1.0939844303964935E-2</v>
      </c>
      <c r="CT10">
        <v>-0.60695643482121364</v>
      </c>
      <c r="CU10">
        <v>0</v>
      </c>
      <c r="CV10">
        <v>-0.38662740659275602</v>
      </c>
      <c r="CW10">
        <v>7.9765615095283057E-2</v>
      </c>
      <c r="CX10">
        <v>0.59206592644381839</v>
      </c>
      <c r="CY10">
        <v>104.75196414950608</v>
      </c>
      <c r="CZ10">
        <v>-15.92722194483407</v>
      </c>
      <c r="DA10">
        <v>5.2729716587967248</v>
      </c>
      <c r="DB10">
        <v>7.0236784480883161</v>
      </c>
      <c r="DC10">
        <v>17.53602475304632</v>
      </c>
      <c r="DD10">
        <v>0</v>
      </c>
      <c r="DE10">
        <v>33.81172080509451</v>
      </c>
      <c r="DF10">
        <v>-4.0566201712763809E-2</v>
      </c>
      <c r="DG10">
        <v>-17.15991666217521</v>
      </c>
    </row>
    <row r="11" spans="1:111" ht="224.4" hidden="1" x14ac:dyDescent="0.25">
      <c r="A11" s="34">
        <v>46104</v>
      </c>
      <c r="B11">
        <v>23</v>
      </c>
      <c r="C11" s="35">
        <v>46104.958333333336</v>
      </c>
      <c r="D11" t="s">
        <v>265</v>
      </c>
      <c r="E11">
        <v>120.08347398871528</v>
      </c>
      <c r="F11">
        <v>23.062704777788053</v>
      </c>
      <c r="G11">
        <v>1039.1953465354302</v>
      </c>
      <c r="H11">
        <v>120.08347398871528</v>
      </c>
      <c r="I11">
        <v>23.062704777788053</v>
      </c>
      <c r="J11">
        <v>114.67600269014483</v>
      </c>
      <c r="K11">
        <v>8653.9413960749298</v>
      </c>
      <c r="L11">
        <v>8761.9049627603199</v>
      </c>
      <c r="M11">
        <v>10469.331285279315</v>
      </c>
      <c r="N11">
        <v>10599.943025599438</v>
      </c>
      <c r="O11">
        <v>559.13155298572849</v>
      </c>
      <c r="P11">
        <v>33.767300026548178</v>
      </c>
      <c r="Q11">
        <v>423.96387757334514</v>
      </c>
      <c r="R11" s="100">
        <v>0.32190188114780399</v>
      </c>
      <c r="S11" s="118">
        <v>1.0471543406791173</v>
      </c>
      <c r="T11">
        <v>3.8436721167803261</v>
      </c>
      <c r="U11">
        <v>0.98767807147597975</v>
      </c>
      <c r="V11">
        <v>1.0272892921937928</v>
      </c>
      <c r="W11">
        <v>553.78644466825699</v>
      </c>
      <c r="X11">
        <v>435.53355170805759</v>
      </c>
      <c r="Y11">
        <v>20.219050443618563</v>
      </c>
      <c r="Z11">
        <v>553.78644466825699</v>
      </c>
      <c r="AA11">
        <v>357.9254359309727</v>
      </c>
      <c r="AB11">
        <v>11.149568014241851</v>
      </c>
      <c r="AC11">
        <v>11.094401863847546</v>
      </c>
      <c r="AD11">
        <v>0.85896123854497897</v>
      </c>
      <c r="AE11">
        <v>85.970407955729172</v>
      </c>
      <c r="AF11">
        <v>19.912341190917477</v>
      </c>
      <c r="AG11">
        <v>19.986944153084753</v>
      </c>
      <c r="AH11">
        <v>0.95744690370652086</v>
      </c>
      <c r="AI11">
        <v>0.96746058210628261</v>
      </c>
      <c r="AJ11" t="s">
        <v>200</v>
      </c>
      <c r="AL11">
        <v>27.120024753725254</v>
      </c>
      <c r="AM11">
        <v>52.160187670031654</v>
      </c>
      <c r="AN11">
        <v>1004.9724312379624</v>
      </c>
      <c r="AO11">
        <v>20.219050443618563</v>
      </c>
      <c r="AP11">
        <v>52.160187670031654</v>
      </c>
      <c r="AQ11">
        <v>79.016196002956391</v>
      </c>
      <c r="AR11">
        <v>0.99882159861111086</v>
      </c>
      <c r="AS11">
        <v>2996.4647958333326</v>
      </c>
      <c r="AT11">
        <v>33.767300026548178</v>
      </c>
      <c r="AU11">
        <v>3.4750812663043202</v>
      </c>
      <c r="AV11">
        <v>88.267064164129735</v>
      </c>
      <c r="AW11">
        <v>0</v>
      </c>
      <c r="AX11">
        <v>266.7</v>
      </c>
      <c r="AY11">
        <v>1004.9724312379624</v>
      </c>
      <c r="AZ11">
        <v>13205.669389514984</v>
      </c>
      <c r="BA11">
        <v>3.8436721167803261</v>
      </c>
      <c r="BB11">
        <v>5677.4159026289699</v>
      </c>
      <c r="BC11">
        <v>474.89859999999999</v>
      </c>
      <c r="BD11">
        <v>358.2799777949341</v>
      </c>
      <c r="BE11">
        <v>1.0461405482841557</v>
      </c>
      <c r="BF11">
        <v>0.98982081336590355</v>
      </c>
      <c r="BG11">
        <v>1.0320727739378577</v>
      </c>
      <c r="BH11">
        <v>-5.1038391134133363</v>
      </c>
      <c r="BI11">
        <v>0.99979822688881925</v>
      </c>
      <c r="BJ11">
        <v>1.0014654460665997</v>
      </c>
      <c r="BK11">
        <v>0.99752299688324286</v>
      </c>
      <c r="BL11">
        <v>0.28446405420016602</v>
      </c>
      <c r="BM11">
        <v>0.99844348445169517</v>
      </c>
      <c r="BN11">
        <v>1.0003211274618051</v>
      </c>
      <c r="BO11">
        <v>0.99829352025379503</v>
      </c>
      <c r="BP11">
        <v>0.31529933096194873</v>
      </c>
      <c r="BQ11">
        <v>0.99990808799969655</v>
      </c>
      <c r="BR11">
        <v>0.99932398699745895</v>
      </c>
      <c r="BS11">
        <v>1.0051730111312636</v>
      </c>
      <c r="BT11">
        <v>0.9983029091325395</v>
      </c>
      <c r="BU11">
        <v>1.0038019474316724</v>
      </c>
      <c r="BV11">
        <v>-0.60384020366116908</v>
      </c>
      <c r="BW11">
        <v>1</v>
      </c>
      <c r="BX11">
        <v>1</v>
      </c>
      <c r="BY11">
        <v>0</v>
      </c>
      <c r="BZ11">
        <v>1.0032312000000001</v>
      </c>
      <c r="CA11">
        <v>8202.3527722035524</v>
      </c>
      <c r="CB11">
        <v>8304.6824760885975</v>
      </c>
      <c r="CC11">
        <v>0.99678560000000005</v>
      </c>
      <c r="CD11">
        <v>-0.83440000000000003</v>
      </c>
      <c r="CE11">
        <v>0.99935465916255894</v>
      </c>
      <c r="CF11">
        <v>1.0000038241364015</v>
      </c>
      <c r="CG11">
        <v>0.999069378002166</v>
      </c>
      <c r="CH11">
        <v>0.13952300424286904</v>
      </c>
      <c r="CI11">
        <v>0.99509201211669052</v>
      </c>
      <c r="CJ11">
        <v>1.0016392961487157</v>
      </c>
      <c r="CK11">
        <v>0.99668423571248432</v>
      </c>
      <c r="CL11">
        <v>0.45768461019801698</v>
      </c>
      <c r="CM11" t="s">
        <v>402</v>
      </c>
      <c r="CN11" s="116" t="s">
        <v>403</v>
      </c>
      <c r="CO11" s="116" t="s">
        <v>404</v>
      </c>
      <c r="CP11">
        <v>-5.2963412409481441</v>
      </c>
      <c r="CQ11">
        <v>2.423450601976666E-2</v>
      </c>
      <c r="CR11">
        <v>0.18720317901672559</v>
      </c>
      <c r="CS11">
        <v>1.1038126834013735E-2</v>
      </c>
      <c r="CT11">
        <v>-0.61799624616393845</v>
      </c>
      <c r="CU11">
        <v>0</v>
      </c>
      <c r="CV11">
        <v>-0.38676400928554483</v>
      </c>
      <c r="CW11">
        <v>7.7544812500958252E-2</v>
      </c>
      <c r="CX11">
        <v>0.59227511440742786</v>
      </c>
      <c r="CY11">
        <v>107.66522147039203</v>
      </c>
      <c r="CZ11">
        <v>-15.319790025906935</v>
      </c>
      <c r="DA11">
        <v>-3.3609105017803245</v>
      </c>
      <c r="DB11">
        <v>7.0821917304555067</v>
      </c>
      <c r="DC11">
        <v>17.79761067520511</v>
      </c>
      <c r="DD11">
        <v>0</v>
      </c>
      <c r="DE11">
        <v>33.761140292757723</v>
      </c>
      <c r="DF11">
        <v>-4.0035997764669554E-2</v>
      </c>
      <c r="DG11">
        <v>-17.13424635153256</v>
      </c>
    </row>
    <row r="12" spans="1:111" ht="224.4" hidden="1" x14ac:dyDescent="0.25">
      <c r="A12" s="34">
        <v>46104</v>
      </c>
      <c r="B12">
        <v>24</v>
      </c>
      <c r="C12" s="35">
        <v>46105</v>
      </c>
      <c r="D12" t="s">
        <v>265</v>
      </c>
      <c r="E12">
        <v>120.8417663237847</v>
      </c>
      <c r="F12">
        <v>23.532577507284483</v>
      </c>
      <c r="G12">
        <v>1060.367605325599</v>
      </c>
      <c r="H12">
        <v>120.8417663237847</v>
      </c>
      <c r="I12">
        <v>23.532577507284483</v>
      </c>
      <c r="J12">
        <v>114.87319151202213</v>
      </c>
      <c r="K12">
        <v>8774.8436454035182</v>
      </c>
      <c r="L12">
        <v>8891.9752947331526</v>
      </c>
      <c r="M12">
        <v>10615.595934347832</v>
      </c>
      <c r="N12">
        <v>10757.299001736212</v>
      </c>
      <c r="O12">
        <v>559.06271227847503</v>
      </c>
      <c r="P12">
        <v>33.244990647403931</v>
      </c>
      <c r="Q12">
        <v>423.01737092388981</v>
      </c>
      <c r="R12" s="100">
        <v>0.31719315410395199</v>
      </c>
      <c r="S12" s="118">
        <v>1.0519579436524833</v>
      </c>
      <c r="T12">
        <v>3.8436721167803261</v>
      </c>
      <c r="U12">
        <v>0.98682726329671511</v>
      </c>
      <c r="V12">
        <v>1.0312076974044528</v>
      </c>
      <c r="W12">
        <v>553.04683476935486</v>
      </c>
      <c r="X12">
        <v>436.21876903250978</v>
      </c>
      <c r="Y12">
        <v>19.748807104845046</v>
      </c>
      <c r="Z12">
        <v>553.04683476935486</v>
      </c>
      <c r="AA12">
        <v>358.01525204487268</v>
      </c>
      <c r="AB12">
        <v>11.207327417527573</v>
      </c>
      <c r="AC12">
        <v>11.153480742016558</v>
      </c>
      <c r="AD12">
        <v>0.85877944683297602</v>
      </c>
      <c r="AE12">
        <v>85.958698413628483</v>
      </c>
      <c r="AF12">
        <v>19.632085498500338</v>
      </c>
      <c r="AG12">
        <v>19.795883402376699</v>
      </c>
      <c r="AH12">
        <v>0.98275343614172028</v>
      </c>
      <c r="AI12">
        <v>1.007128430323071</v>
      </c>
      <c r="AJ12" t="s">
        <v>200</v>
      </c>
      <c r="AL12">
        <v>26.399903558019009</v>
      </c>
      <c r="AM12">
        <v>54.048312750688126</v>
      </c>
      <c r="AN12">
        <v>1004.8277911404076</v>
      </c>
      <c r="AO12">
        <v>19.748807104845046</v>
      </c>
      <c r="AP12">
        <v>54.048312750688126</v>
      </c>
      <c r="AQ12">
        <v>80.801881963036905</v>
      </c>
      <c r="AR12">
        <v>1.0002142823611111</v>
      </c>
      <c r="AS12">
        <v>3000.6428470833334</v>
      </c>
      <c r="AT12">
        <v>33.244990647403931</v>
      </c>
      <c r="AU12">
        <v>3.4868892094525354</v>
      </c>
      <c r="AV12">
        <v>88.566985920094396</v>
      </c>
      <c r="AW12">
        <v>0</v>
      </c>
      <c r="AX12">
        <v>266.7</v>
      </c>
      <c r="AY12">
        <v>1004.8277911404076</v>
      </c>
      <c r="AZ12">
        <v>13205.669389514984</v>
      </c>
      <c r="BA12">
        <v>3.8436721167803261</v>
      </c>
      <c r="BB12">
        <v>5677.4159026289699</v>
      </c>
      <c r="BC12">
        <v>474.89859999999999</v>
      </c>
      <c r="BD12">
        <v>359.65224655052162</v>
      </c>
      <c r="BE12">
        <v>1.0491862447237119</v>
      </c>
      <c r="BF12">
        <v>0.98923010645577758</v>
      </c>
      <c r="BG12">
        <v>1.0341801607523611</v>
      </c>
      <c r="BH12">
        <v>-5.4383795133741266</v>
      </c>
      <c r="BI12">
        <v>0.99979713144505167</v>
      </c>
      <c r="BJ12">
        <v>1.0014999986668303</v>
      </c>
      <c r="BK12">
        <v>0.99746057092765761</v>
      </c>
      <c r="BL12">
        <v>0.29265256358811553</v>
      </c>
      <c r="BM12">
        <v>1.0002610211091054</v>
      </c>
      <c r="BN12">
        <v>0.99994863593648753</v>
      </c>
      <c r="BO12">
        <v>1.0002947251225807</v>
      </c>
      <c r="BP12">
        <v>-5.4652103949939281E-2</v>
      </c>
      <c r="BQ12">
        <v>0.99991463055677299</v>
      </c>
      <c r="BR12">
        <v>0.99937395741633528</v>
      </c>
      <c r="BS12">
        <v>1.0051175335728693</v>
      </c>
      <c r="BT12">
        <v>0.99832523410200968</v>
      </c>
      <c r="BU12">
        <v>1.0037725809325897</v>
      </c>
      <c r="BV12">
        <v>-0.60013100140523834</v>
      </c>
      <c r="BW12">
        <v>1</v>
      </c>
      <c r="BX12">
        <v>1</v>
      </c>
      <c r="BY12">
        <v>0</v>
      </c>
      <c r="BZ12">
        <v>1.0032312000000001</v>
      </c>
      <c r="CA12">
        <v>8316.9459794554259</v>
      </c>
      <c r="CB12">
        <v>8427.9653479280933</v>
      </c>
      <c r="CC12">
        <v>0.99678560000000005</v>
      </c>
      <c r="CD12">
        <v>-0.83440000000000003</v>
      </c>
      <c r="CE12">
        <v>0.99925542704979664</v>
      </c>
      <c r="CF12">
        <v>1.00000456434881</v>
      </c>
      <c r="CG12">
        <v>0.99892598489224216</v>
      </c>
      <c r="CH12">
        <v>0.16134793582305287</v>
      </c>
      <c r="CI12">
        <v>0.99509201211669052</v>
      </c>
      <c r="CJ12">
        <v>1.0016392961487157</v>
      </c>
      <c r="CK12">
        <v>0.99668423571248432</v>
      </c>
      <c r="CL12">
        <v>0.45768461019801698</v>
      </c>
      <c r="CM12" t="s">
        <v>405</v>
      </c>
      <c r="CN12" s="116" t="s">
        <v>406</v>
      </c>
      <c r="CO12" s="116" t="s">
        <v>407</v>
      </c>
      <c r="CP12">
        <v>-5.6651073354592887</v>
      </c>
      <c r="CQ12">
        <v>2.4519968842151962E-2</v>
      </c>
      <c r="CR12">
        <v>-3.153402082700222E-2</v>
      </c>
      <c r="CS12">
        <v>1.0317075072574896E-2</v>
      </c>
      <c r="CT12">
        <v>-0.61526316625731892</v>
      </c>
      <c r="CU12">
        <v>0</v>
      </c>
      <c r="CV12">
        <v>-0.38920631191037985</v>
      </c>
      <c r="CW12">
        <v>9.0042553709356321E-2</v>
      </c>
      <c r="CX12">
        <v>0.59601516009889177</v>
      </c>
      <c r="CY12">
        <v>115.5735529835664</v>
      </c>
      <c r="CZ12">
        <v>-15.899530474615167</v>
      </c>
      <c r="DA12">
        <v>0.54528815201056691</v>
      </c>
      <c r="DB12">
        <v>6.6499782754608106</v>
      </c>
      <c r="DC12">
        <v>17.808463064325316</v>
      </c>
      <c r="DD12">
        <v>0</v>
      </c>
      <c r="DE12">
        <v>34.232809514269171</v>
      </c>
      <c r="DF12">
        <v>-4.8453061513517005E-2</v>
      </c>
      <c r="DG12">
        <v>-17.373625014922862</v>
      </c>
    </row>
    <row r="821" spans="1:111" s="53" customFormat="1" x14ac:dyDescent="0.25">
      <c r="A821"/>
      <c r="B821"/>
      <c r="C821"/>
      <c r="D821"/>
      <c r="E821"/>
      <c r="F821"/>
      <c r="G821"/>
      <c r="H821"/>
      <c r="I821"/>
      <c r="J821"/>
      <c r="K821"/>
      <c r="L821"/>
      <c r="M821"/>
      <c r="N821"/>
      <c r="O821" s="54"/>
      <c r="P821"/>
      <c r="Q821"/>
      <c r="R821"/>
      <c r="S821"/>
      <c r="T821"/>
      <c r="U821"/>
      <c r="V821"/>
      <c r="W821"/>
      <c r="X821"/>
      <c r="Y821"/>
      <c r="Z821"/>
      <c r="AA821"/>
      <c r="AB821"/>
      <c r="AC821"/>
      <c r="AD821"/>
      <c r="AE821"/>
      <c r="AF821"/>
      <c r="AG821"/>
      <c r="AH821"/>
      <c r="AI821"/>
      <c r="AJ821"/>
      <c r="AK821"/>
      <c r="AL821"/>
      <c r="AM821"/>
      <c r="AN821"/>
      <c r="AO821"/>
      <c r="AP821"/>
      <c r="AQ821"/>
      <c r="AR821"/>
      <c r="AS821"/>
      <c r="AT821"/>
      <c r="AU821"/>
      <c r="AV821"/>
      <c r="AW821"/>
      <c r="AX821"/>
      <c r="AY821"/>
      <c r="AZ821"/>
      <c r="BA821"/>
      <c r="BB821"/>
      <c r="BC821"/>
      <c r="BD821"/>
      <c r="BE821"/>
      <c r="BF821"/>
      <c r="BG821"/>
      <c r="BH821"/>
      <c r="BI821"/>
      <c r="BJ821"/>
      <c r="BK821"/>
      <c r="BL821"/>
      <c r="BM821"/>
      <c r="BN821"/>
      <c r="BO821"/>
      <c r="BP821"/>
      <c r="BQ821"/>
      <c r="BR821"/>
      <c r="BS821"/>
      <c r="BT821"/>
      <c r="BU821"/>
      <c r="BV821"/>
      <c r="BW821"/>
      <c r="BX821"/>
      <c r="BY821"/>
      <c r="BZ821"/>
      <c r="CA821"/>
      <c r="CB821"/>
      <c r="CC821"/>
      <c r="CD821"/>
      <c r="CE821"/>
      <c r="CF821"/>
      <c r="CG821"/>
      <c r="CH821"/>
      <c r="CI821"/>
      <c r="CJ821"/>
      <c r="CK821"/>
      <c r="CL821"/>
      <c r="CM821"/>
      <c r="CN821" s="116"/>
      <c r="CO821" s="116"/>
      <c r="CP821" s="116"/>
      <c r="CQ821" s="116"/>
      <c r="CR821" s="116"/>
      <c r="CS821" s="116"/>
      <c r="CT821" s="116"/>
      <c r="CU821" s="116"/>
      <c r="CV821" s="116"/>
      <c r="CW821" s="116"/>
      <c r="CX821" s="116"/>
      <c r="CY821" s="116"/>
      <c r="CZ821" s="116"/>
      <c r="DA821" s="116"/>
      <c r="DB821" s="116"/>
      <c r="DC821" s="116"/>
      <c r="DD821" s="116"/>
      <c r="DE821" s="116"/>
      <c r="DF821" s="116"/>
      <c r="DG821" s="116"/>
    </row>
  </sheetData>
  <phoneticPr fontId="4" type="noConversion"/>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3873AB-DB1A-4740-B4F7-7F666D510222}">
  <sheetPr codeName="Sheet10"/>
  <dimension ref="A1:DG12"/>
  <sheetViews>
    <sheetView topLeftCell="R1" workbookViewId="0">
      <selection activeCell="J1" sqref="J1"/>
    </sheetView>
  </sheetViews>
  <sheetFormatPr defaultRowHeight="13.2" x14ac:dyDescent="0.25"/>
  <cols>
    <col min="1" max="1" width="11.77734375" bestFit="1" customWidth="1"/>
    <col min="2" max="2" width="7.5546875" bestFit="1" customWidth="1"/>
    <col min="3" max="3" width="14.33203125" bestFit="1" customWidth="1"/>
    <col min="4" max="4" width="10.33203125" bestFit="1" customWidth="1"/>
    <col min="5" max="5" width="17.109375" bestFit="1" customWidth="1"/>
    <col min="6" max="6" width="16.21875" bestFit="1" customWidth="1"/>
    <col min="7" max="7" width="12.77734375" bestFit="1" customWidth="1"/>
    <col min="8" max="8" width="22.33203125" bestFit="1" customWidth="1"/>
    <col min="9" max="9" width="18" bestFit="1" customWidth="1"/>
    <col min="10" max="10" width="22.6640625" bestFit="1" customWidth="1"/>
    <col min="11" max="11" width="19.88671875" bestFit="1" customWidth="1"/>
    <col min="12" max="12" width="20.21875" bestFit="1" customWidth="1"/>
    <col min="13" max="13" width="23.88671875" bestFit="1" customWidth="1"/>
    <col min="14" max="14" width="30.21875" bestFit="1" customWidth="1"/>
    <col min="15" max="15" width="24.21875" style="54" bestFit="1" customWidth="1"/>
    <col min="16" max="16" width="18.6640625" bestFit="1" customWidth="1"/>
    <col min="17" max="17" width="23.5546875" bestFit="1" customWidth="1"/>
    <col min="18" max="18" width="20.5546875" style="54" bestFit="1" customWidth="1"/>
    <col min="19" max="19" width="21.77734375" bestFit="1" customWidth="1"/>
    <col min="20" max="20" width="12" bestFit="1" customWidth="1"/>
    <col min="21" max="21" width="18.21875" bestFit="1" customWidth="1"/>
    <col min="22" max="22" width="23.109375" bestFit="1" customWidth="1"/>
    <col min="23" max="23" width="23.88671875" bestFit="1" customWidth="1"/>
    <col min="24" max="24" width="23.109375" bestFit="1" customWidth="1"/>
    <col min="25" max="25" width="25" bestFit="1" customWidth="1"/>
    <col min="26" max="26" width="23.6640625" bestFit="1" customWidth="1"/>
    <col min="27" max="27" width="26.21875" bestFit="1" customWidth="1"/>
    <col min="28" max="28" width="26.44140625" bestFit="1" customWidth="1"/>
    <col min="29" max="29" width="17.6640625" bestFit="1" customWidth="1"/>
    <col min="30" max="30" width="23.6640625" bestFit="1" customWidth="1"/>
    <col min="31" max="31" width="20.5546875" bestFit="1" customWidth="1"/>
    <col min="32" max="32" width="22.5546875" bestFit="1" customWidth="1"/>
    <col min="33" max="33" width="20.77734375" bestFit="1" customWidth="1"/>
    <col min="34" max="34" width="26" bestFit="1" customWidth="1"/>
    <col min="35" max="35" width="29.6640625" bestFit="1" customWidth="1"/>
    <col min="36" max="36" width="15.77734375" bestFit="1" customWidth="1"/>
    <col min="37" max="37" width="15.5546875" bestFit="1" customWidth="1"/>
    <col min="38" max="38" width="20" bestFit="1" customWidth="1"/>
    <col min="39" max="39" width="14.6640625" bestFit="1" customWidth="1"/>
    <col min="40" max="40" width="16.44140625" bestFit="1" customWidth="1"/>
    <col min="41" max="42" width="12" bestFit="1" customWidth="1"/>
    <col min="43" max="43" width="12.44140625" bestFit="1" customWidth="1"/>
    <col min="44" max="44" width="17.88671875" bestFit="1" customWidth="1"/>
    <col min="45" max="45" width="22.44140625" bestFit="1" customWidth="1"/>
    <col min="46" max="46" width="17.33203125" bestFit="1" customWidth="1"/>
    <col min="47" max="47" width="18.109375" bestFit="1" customWidth="1"/>
    <col min="48" max="48" width="17.44140625" bestFit="1" customWidth="1"/>
    <col min="49" max="49" width="21.6640625" bestFit="1" customWidth="1"/>
    <col min="50" max="50" width="21" bestFit="1" customWidth="1"/>
    <col min="51" max="51" width="22" bestFit="1" customWidth="1"/>
    <col min="52" max="52" width="15.77734375" bestFit="1" customWidth="1"/>
    <col min="53" max="53" width="12" bestFit="1" customWidth="1"/>
    <col min="54" max="54" width="15.109375" bestFit="1" customWidth="1"/>
    <col min="55" max="55" width="16.6640625" bestFit="1" customWidth="1"/>
    <col min="56" max="56" width="31" bestFit="1" customWidth="1"/>
    <col min="57" max="57" width="18.44140625" bestFit="1" customWidth="1"/>
    <col min="58" max="58" width="20.44140625" bestFit="1" customWidth="1"/>
    <col min="59" max="59" width="23.77734375" bestFit="1" customWidth="1"/>
    <col min="60" max="60" width="28.44140625" bestFit="1" customWidth="1"/>
    <col min="61" max="61" width="18.44140625" bestFit="1" customWidth="1"/>
    <col min="62" max="62" width="20.44140625" bestFit="1" customWidth="1"/>
    <col min="63" max="63" width="23.77734375" bestFit="1" customWidth="1"/>
    <col min="64" max="64" width="28.44140625" bestFit="1" customWidth="1"/>
    <col min="65" max="65" width="19.5546875" bestFit="1" customWidth="1"/>
    <col min="66" max="66" width="21.44140625" bestFit="1" customWidth="1"/>
    <col min="67" max="67" width="24.77734375" bestFit="1" customWidth="1"/>
    <col min="68" max="68" width="29.44140625" bestFit="1" customWidth="1"/>
    <col min="69" max="69" width="19.5546875" bestFit="1" customWidth="1"/>
    <col min="70" max="70" width="21.44140625" bestFit="1" customWidth="1"/>
    <col min="71" max="71" width="19.5546875" bestFit="1" customWidth="1"/>
    <col min="72" max="72" width="21.44140625" bestFit="1" customWidth="1"/>
    <col min="73" max="73" width="24.77734375" bestFit="1" customWidth="1"/>
    <col min="74" max="74" width="29.44140625" bestFit="1" customWidth="1"/>
    <col min="75" max="75" width="19.5546875" bestFit="1" customWidth="1"/>
    <col min="76" max="76" width="21.44140625" bestFit="1" customWidth="1"/>
    <col min="77" max="77" width="29.44140625" bestFit="1" customWidth="1"/>
    <col min="78" max="78" width="19.5546875" bestFit="1" customWidth="1"/>
    <col min="79" max="79" width="24.77734375" bestFit="1" customWidth="1"/>
    <col min="80" max="80" width="25.109375" bestFit="1" customWidth="1"/>
    <col min="81" max="81" width="21.44140625" bestFit="1" customWidth="1"/>
    <col min="82" max="82" width="29.44140625" bestFit="1" customWidth="1"/>
    <col min="83" max="83" width="19.5546875" bestFit="1" customWidth="1"/>
    <col min="84" max="84" width="21.44140625" bestFit="1" customWidth="1"/>
    <col min="85" max="85" width="24.77734375" bestFit="1" customWidth="1"/>
    <col min="86" max="86" width="29.44140625" bestFit="1" customWidth="1"/>
    <col min="87" max="87" width="19.5546875" bestFit="1" customWidth="1"/>
    <col min="88" max="88" width="21.44140625" bestFit="1" customWidth="1"/>
    <col min="89" max="89" width="24.77734375" bestFit="1" customWidth="1"/>
    <col min="90" max="90" width="29.44140625" bestFit="1" customWidth="1"/>
    <col min="91" max="93" width="80.88671875" bestFit="1" customWidth="1"/>
    <col min="94" max="94" width="12.6640625" bestFit="1" customWidth="1"/>
    <col min="95" max="95" width="12" bestFit="1" customWidth="1"/>
    <col min="96" max="96" width="12.6640625" bestFit="1" customWidth="1"/>
    <col min="97" max="97" width="16.109375" bestFit="1" customWidth="1"/>
    <col min="98" max="98" width="13.77734375" bestFit="1" customWidth="1"/>
    <col min="99" max="99" width="16" bestFit="1" customWidth="1"/>
    <col min="100" max="100" width="13.44140625" bestFit="1" customWidth="1"/>
    <col min="101" max="101" width="16.88671875" bestFit="1" customWidth="1"/>
    <col min="102" max="102" width="16.44140625" bestFit="1" customWidth="1"/>
    <col min="103" max="103" width="12" bestFit="1" customWidth="1"/>
    <col min="104" max="105" width="12.6640625" bestFit="1" customWidth="1"/>
    <col min="106" max="106" width="15.44140625" bestFit="1" customWidth="1"/>
    <col min="107" max="107" width="13.109375" bestFit="1" customWidth="1"/>
    <col min="108" max="108" width="15.33203125" bestFit="1" customWidth="1"/>
    <col min="109" max="109" width="12.77734375" bestFit="1" customWidth="1"/>
    <col min="110" max="110" width="16.21875" bestFit="1" customWidth="1"/>
    <col min="111" max="111" width="15.77734375" bestFit="1" customWidth="1"/>
    <col min="112" max="112" width="29.44140625" bestFit="1" customWidth="1"/>
    <col min="113" max="114" width="80.88671875" customWidth="1"/>
  </cols>
  <sheetData>
    <row r="1" spans="1:111" x14ac:dyDescent="0.25">
      <c r="A1" t="s">
        <v>13</v>
      </c>
      <c r="B1" t="s">
        <v>1</v>
      </c>
      <c r="C1" t="s">
        <v>14</v>
      </c>
      <c r="D1" t="s">
        <v>210</v>
      </c>
      <c r="E1" t="s">
        <v>32</v>
      </c>
      <c r="F1" t="s">
        <v>211</v>
      </c>
      <c r="G1" t="s">
        <v>212</v>
      </c>
      <c r="H1" t="s">
        <v>213</v>
      </c>
      <c r="I1" t="s">
        <v>58</v>
      </c>
      <c r="J1" t="s">
        <v>214</v>
      </c>
      <c r="K1" t="s">
        <v>215</v>
      </c>
      <c r="L1" t="s">
        <v>216</v>
      </c>
      <c r="M1" t="s">
        <v>312</v>
      </c>
      <c r="N1" t="s">
        <v>313</v>
      </c>
      <c r="O1" t="s">
        <v>271</v>
      </c>
      <c r="P1" t="s">
        <v>59</v>
      </c>
      <c r="Q1" t="s">
        <v>272</v>
      </c>
      <c r="R1" s="54" t="s">
        <v>273</v>
      </c>
      <c r="S1" t="s">
        <v>217</v>
      </c>
      <c r="T1" t="s">
        <v>219</v>
      </c>
      <c r="U1" t="s">
        <v>218</v>
      </c>
      <c r="V1" t="s">
        <v>274</v>
      </c>
      <c r="W1" t="s">
        <v>275</v>
      </c>
      <c r="X1" t="s">
        <v>276</v>
      </c>
      <c r="Y1" t="s">
        <v>21</v>
      </c>
      <c r="Z1" t="s">
        <v>57</v>
      </c>
      <c r="AA1" t="s">
        <v>49</v>
      </c>
      <c r="AB1" t="s">
        <v>52</v>
      </c>
      <c r="AC1" t="s">
        <v>287</v>
      </c>
      <c r="AD1" t="s">
        <v>288</v>
      </c>
      <c r="AE1" t="s">
        <v>46</v>
      </c>
      <c r="AF1" t="s">
        <v>199</v>
      </c>
      <c r="AG1" t="s">
        <v>19</v>
      </c>
      <c r="AH1" t="s">
        <v>220</v>
      </c>
      <c r="AI1" t="s">
        <v>221</v>
      </c>
      <c r="AJ1" t="s">
        <v>222</v>
      </c>
      <c r="AK1" t="s">
        <v>302</v>
      </c>
      <c r="AL1" t="s">
        <v>15</v>
      </c>
      <c r="AM1" t="s">
        <v>16</v>
      </c>
      <c r="AN1" t="s">
        <v>17</v>
      </c>
      <c r="AO1" t="s">
        <v>223</v>
      </c>
      <c r="AP1" t="s">
        <v>224</v>
      </c>
      <c r="AQ1" t="s">
        <v>306</v>
      </c>
      <c r="AR1" t="s">
        <v>225</v>
      </c>
      <c r="AS1" t="s">
        <v>24</v>
      </c>
      <c r="AT1" t="s">
        <v>226</v>
      </c>
      <c r="AU1" t="s">
        <v>140</v>
      </c>
      <c r="AV1" t="s">
        <v>227</v>
      </c>
      <c r="AW1" t="s">
        <v>228</v>
      </c>
      <c r="AX1" t="s">
        <v>229</v>
      </c>
      <c r="AY1" t="s">
        <v>230</v>
      </c>
      <c r="AZ1" t="s">
        <v>231</v>
      </c>
      <c r="BA1" t="s">
        <v>266</v>
      </c>
      <c r="BB1" t="s">
        <v>203</v>
      </c>
      <c r="BC1" t="s">
        <v>310</v>
      </c>
      <c r="BD1" t="s">
        <v>232</v>
      </c>
      <c r="BE1" t="s">
        <v>233</v>
      </c>
      <c r="BF1" t="s">
        <v>234</v>
      </c>
      <c r="BG1" t="s">
        <v>235</v>
      </c>
      <c r="BH1" t="s">
        <v>236</v>
      </c>
      <c r="BI1" t="s">
        <v>237</v>
      </c>
      <c r="BJ1" t="s">
        <v>238</v>
      </c>
      <c r="BK1" t="s">
        <v>239</v>
      </c>
      <c r="BL1" t="s">
        <v>240</v>
      </c>
      <c r="BM1" t="s">
        <v>241</v>
      </c>
      <c r="BN1" t="s">
        <v>242</v>
      </c>
      <c r="BO1" t="s">
        <v>243</v>
      </c>
      <c r="BP1" t="s">
        <v>244</v>
      </c>
      <c r="BQ1" t="s">
        <v>245</v>
      </c>
      <c r="BR1" t="s">
        <v>246</v>
      </c>
      <c r="BS1" t="s">
        <v>247</v>
      </c>
      <c r="BT1" t="s">
        <v>248</v>
      </c>
      <c r="BU1" t="s">
        <v>249</v>
      </c>
      <c r="BV1" t="s">
        <v>250</v>
      </c>
      <c r="BW1" t="s">
        <v>251</v>
      </c>
      <c r="BX1" t="s">
        <v>252</v>
      </c>
      <c r="BY1" t="s">
        <v>253</v>
      </c>
      <c r="BZ1" t="s">
        <v>254</v>
      </c>
      <c r="CA1" t="s">
        <v>304</v>
      </c>
      <c r="CB1" t="s">
        <v>305</v>
      </c>
      <c r="CC1" t="s">
        <v>255</v>
      </c>
      <c r="CD1" t="s">
        <v>256</v>
      </c>
      <c r="CE1" t="s">
        <v>257</v>
      </c>
      <c r="CF1" t="s">
        <v>258</v>
      </c>
      <c r="CG1" t="s">
        <v>259</v>
      </c>
      <c r="CH1" t="s">
        <v>260</v>
      </c>
      <c r="CI1" t="s">
        <v>261</v>
      </c>
      <c r="CJ1" t="s">
        <v>262</v>
      </c>
      <c r="CK1" t="s">
        <v>263</v>
      </c>
      <c r="CL1" t="s">
        <v>264</v>
      </c>
      <c r="CM1" t="s">
        <v>267</v>
      </c>
      <c r="CN1" t="s">
        <v>314</v>
      </c>
      <c r="CO1" t="s">
        <v>315</v>
      </c>
      <c r="CP1" t="s">
        <v>441</v>
      </c>
      <c r="CQ1" t="s">
        <v>442</v>
      </c>
      <c r="CR1" t="s">
        <v>443</v>
      </c>
      <c r="CS1" t="s">
        <v>444</v>
      </c>
      <c r="CT1" t="s">
        <v>445</v>
      </c>
      <c r="CU1" t="s">
        <v>446</v>
      </c>
      <c r="CV1" t="s">
        <v>447</v>
      </c>
      <c r="CW1" t="s">
        <v>448</v>
      </c>
      <c r="CX1" t="s">
        <v>449</v>
      </c>
      <c r="CY1" t="s">
        <v>450</v>
      </c>
      <c r="CZ1" t="s">
        <v>451</v>
      </c>
      <c r="DA1" t="s">
        <v>452</v>
      </c>
      <c r="DB1" t="s">
        <v>453</v>
      </c>
      <c r="DC1" t="s">
        <v>454</v>
      </c>
      <c r="DD1" t="s">
        <v>455</v>
      </c>
      <c r="DE1" t="s">
        <v>456</v>
      </c>
      <c r="DF1" t="s">
        <v>457</v>
      </c>
      <c r="DG1" t="s">
        <v>458</v>
      </c>
    </row>
    <row r="2" spans="1:111" x14ac:dyDescent="0.25">
      <c r="A2" s="34">
        <v>46104</v>
      </c>
      <c r="B2">
        <v>1</v>
      </c>
      <c r="C2" s="35">
        <v>46104.041666666664</v>
      </c>
      <c r="D2" t="s">
        <v>268</v>
      </c>
      <c r="E2">
        <v>121.56802926649306</v>
      </c>
      <c r="F2">
        <v>22.992033747392224</v>
      </c>
      <c r="G2">
        <v>1036.0109409494496</v>
      </c>
      <c r="H2">
        <v>121.56802926649306</v>
      </c>
      <c r="I2">
        <v>22.992033747392224</v>
      </c>
      <c r="J2">
        <v>115.04871027900582</v>
      </c>
      <c r="K2">
        <v>8522.0674152607826</v>
      </c>
      <c r="L2">
        <v>8634.87259984304</v>
      </c>
      <c r="M2">
        <v>10309.793297920391</v>
      </c>
      <c r="N2">
        <v>10446.262311753138</v>
      </c>
      <c r="O2">
        <v>551.02452532161158</v>
      </c>
      <c r="P2">
        <v>36.347602263673146</v>
      </c>
      <c r="Q2">
        <v>414.30413282043719</v>
      </c>
      <c r="R2" s="126">
        <v>0.32663755687629897</v>
      </c>
      <c r="S2" s="118">
        <v>1.0566657285568624</v>
      </c>
      <c r="T2">
        <v>3.8436721167803261</v>
      </c>
      <c r="U2">
        <v>0.98693609161247986</v>
      </c>
      <c r="V2">
        <v>1.035016802942321</v>
      </c>
      <c r="W2">
        <v>544.37871079525416</v>
      </c>
      <c r="X2">
        <v>428.8117389975996</v>
      </c>
      <c r="Y2">
        <v>18.5651518519179</v>
      </c>
      <c r="Z2">
        <v>544.37871079525416</v>
      </c>
      <c r="AA2">
        <v>356.02233364321393</v>
      </c>
      <c r="AB2">
        <v>11.381245594476329</v>
      </c>
      <c r="AC2">
        <v>11.29853642441409</v>
      </c>
      <c r="AD2">
        <v>0.86372824950762295</v>
      </c>
      <c r="AE2">
        <v>84.148765585937511</v>
      </c>
      <c r="AF2">
        <v>18.248590600511054</v>
      </c>
      <c r="AG2">
        <v>19.379007713670735</v>
      </c>
      <c r="AH2">
        <v>0.77400107790220007</v>
      </c>
      <c r="AI2">
        <v>4.0109012958044392</v>
      </c>
      <c r="AJ2" t="s">
        <v>200</v>
      </c>
      <c r="AL2">
        <v>19.649310783016418</v>
      </c>
      <c r="AM2">
        <v>87.757826707102438</v>
      </c>
      <c r="AN2">
        <v>1007.3203437113784</v>
      </c>
      <c r="AO2">
        <v>18.5651518519179</v>
      </c>
      <c r="AP2">
        <v>87.757826707102438</v>
      </c>
      <c r="AQ2">
        <v>93.89358091944321</v>
      </c>
      <c r="AR2">
        <v>1.0004319317592592</v>
      </c>
      <c r="AS2">
        <v>3001.2957952777774</v>
      </c>
      <c r="AT2">
        <v>36.347602263673146</v>
      </c>
      <c r="AU2">
        <v>4.8758019753711768</v>
      </c>
      <c r="AV2">
        <v>123.84537017442788</v>
      </c>
      <c r="AW2">
        <v>0</v>
      </c>
      <c r="AX2">
        <v>266.7</v>
      </c>
      <c r="AY2">
        <v>1007.3203437113784</v>
      </c>
      <c r="AZ2">
        <v>13205.669389514984</v>
      </c>
      <c r="BA2">
        <v>3.8436721167803261</v>
      </c>
      <c r="BB2">
        <v>5677.4159026289699</v>
      </c>
      <c r="BC2">
        <v>474.89859999999999</v>
      </c>
      <c r="BD2">
        <v>363.10640100003587</v>
      </c>
      <c r="BE2">
        <v>1.0568526044405873</v>
      </c>
      <c r="BF2">
        <v>0.9877432308757117</v>
      </c>
      <c r="BG2">
        <v>1.0394846898488124</v>
      </c>
      <c r="BH2">
        <v>-6.2804552411509995</v>
      </c>
      <c r="BI2">
        <v>0.9997583148141721</v>
      </c>
      <c r="BJ2">
        <v>1.0019287204557783</v>
      </c>
      <c r="BK2">
        <v>0.99672674627539637</v>
      </c>
      <c r="BL2">
        <v>0.37979873013116239</v>
      </c>
      <c r="BM2">
        <v>1.000512881321276</v>
      </c>
      <c r="BN2">
        <v>0.99990081807351794</v>
      </c>
      <c r="BO2">
        <v>1.0005853747092601</v>
      </c>
      <c r="BP2">
        <v>-0.10915056841093845</v>
      </c>
      <c r="BQ2">
        <v>0.99987859883127228</v>
      </c>
      <c r="BR2">
        <v>0.99907701521190551</v>
      </c>
      <c r="BS2">
        <v>1.0004185145523525</v>
      </c>
      <c r="BT2">
        <v>0.99986351594697853</v>
      </c>
      <c r="BU2">
        <v>1.000310495061572</v>
      </c>
      <c r="BV2">
        <v>-4.9343468934050984E-2</v>
      </c>
      <c r="BW2">
        <v>1</v>
      </c>
      <c r="BX2">
        <v>1</v>
      </c>
      <c r="BY2">
        <v>0</v>
      </c>
      <c r="BZ2">
        <v>1.0032312000000001</v>
      </c>
      <c r="CA2">
        <v>8077.3603713302291</v>
      </c>
      <c r="CB2">
        <v>8184.2790429654306</v>
      </c>
      <c r="CC2">
        <v>0.99678560000000005</v>
      </c>
      <c r="CD2">
        <v>-0.83440000000000003</v>
      </c>
      <c r="CE2">
        <v>1.0009496387640682</v>
      </c>
      <c r="CF2">
        <v>0.99999636267400871</v>
      </c>
      <c r="CG2">
        <v>1.0013977833167376</v>
      </c>
      <c r="CH2">
        <v>-0.20994858819055634</v>
      </c>
      <c r="CI2">
        <v>0.99509201211669052</v>
      </c>
      <c r="CJ2">
        <v>1.0016392961487157</v>
      </c>
      <c r="CK2">
        <v>0.99668423571248432</v>
      </c>
      <c r="CL2">
        <v>0.45768461019801698</v>
      </c>
      <c r="CM2" t="s">
        <v>408</v>
      </c>
      <c r="CN2" t="s">
        <v>409</v>
      </c>
      <c r="CO2" t="s">
        <v>410</v>
      </c>
      <c r="CP2">
        <v>-6.5396622494657475</v>
      </c>
      <c r="CQ2">
        <v>2.9388294459398407E-2</v>
      </c>
      <c r="CR2">
        <v>-6.2318009731951694E-2</v>
      </c>
      <c r="CS2">
        <v>1.4760292749678074E-2</v>
      </c>
      <c r="CT2">
        <v>-5.0856705077679809E-2</v>
      </c>
      <c r="CU2">
        <v>0</v>
      </c>
      <c r="CV2">
        <v>-0.3915454544933451</v>
      </c>
      <c r="CW2">
        <v>-0.11533618535032883</v>
      </c>
      <c r="CX2">
        <v>0.59959723058032111</v>
      </c>
      <c r="CY2">
        <v>127.93279895192259</v>
      </c>
      <c r="CZ2">
        <v>-19.84643101108027</v>
      </c>
      <c r="DA2">
        <v>1.0226465889782288</v>
      </c>
      <c r="DB2">
        <v>9.5245734187587061</v>
      </c>
      <c r="DC2">
        <v>1.4073144510942923</v>
      </c>
      <c r="DD2">
        <v>0</v>
      </c>
      <c r="DE2">
        <v>33.246667665377764</v>
      </c>
      <c r="DF2">
        <v>3.7500215526784557E-2</v>
      </c>
      <c r="DG2">
        <v>-16.873144366759274</v>
      </c>
    </row>
    <row r="3" spans="1:111" x14ac:dyDescent="0.25">
      <c r="A3" s="34">
        <v>46104</v>
      </c>
      <c r="B3">
        <v>2</v>
      </c>
      <c r="C3" s="35">
        <v>46104.083333333336</v>
      </c>
      <c r="D3" t="s">
        <v>268</v>
      </c>
      <c r="E3">
        <v>122.11004959635417</v>
      </c>
      <c r="F3">
        <v>23.374483809286236</v>
      </c>
      <c r="G3">
        <v>1053.2439727395986</v>
      </c>
      <c r="H3">
        <v>122.11004959635417</v>
      </c>
      <c r="I3">
        <v>23.374483809286236</v>
      </c>
      <c r="J3">
        <v>115.45275915951372</v>
      </c>
      <c r="K3">
        <v>8625.3668409864058</v>
      </c>
      <c r="L3">
        <v>8742.3923266884849</v>
      </c>
      <c r="M3">
        <v>10434.762472080867</v>
      </c>
      <c r="N3">
        <v>10576.337105252231</v>
      </c>
      <c r="O3">
        <v>550.80922851988146</v>
      </c>
      <c r="P3">
        <v>36.530370633864941</v>
      </c>
      <c r="Q3">
        <v>414.49075730412233</v>
      </c>
      <c r="R3" s="126">
        <v>0.322620352022018</v>
      </c>
      <c r="S3" s="118">
        <v>1.0576624628575788</v>
      </c>
      <c r="T3">
        <v>3.8436721167803261</v>
      </c>
      <c r="U3">
        <v>0.98661402035861201</v>
      </c>
      <c r="V3">
        <v>1.035289366297353</v>
      </c>
      <c r="W3">
        <v>544.12001064471781</v>
      </c>
      <c r="X3">
        <v>429.11787346549477</v>
      </c>
      <c r="Y3">
        <v>18.267394237475393</v>
      </c>
      <c r="Z3">
        <v>544.12001064471781</v>
      </c>
      <c r="AA3">
        <v>355.94394212969468</v>
      </c>
      <c r="AB3">
        <v>11.395664813292557</v>
      </c>
      <c r="AC3">
        <v>11.320206974164828</v>
      </c>
      <c r="AD3">
        <v>0.86323086084948197</v>
      </c>
      <c r="AE3">
        <v>84.144671425781254</v>
      </c>
      <c r="AF3">
        <v>18.013526850741286</v>
      </c>
      <c r="AG3">
        <v>19.106991727727788</v>
      </c>
      <c r="AH3">
        <v>0.82756342874668687</v>
      </c>
      <c r="AI3">
        <v>3.2166334314903717</v>
      </c>
      <c r="AJ3" t="s">
        <v>200</v>
      </c>
      <c r="AL3">
        <v>19.485763191843027</v>
      </c>
      <c r="AM3">
        <v>87.099270438209118</v>
      </c>
      <c r="AN3">
        <v>1006.6657649723137</v>
      </c>
      <c r="AO3">
        <v>18.267394237475393</v>
      </c>
      <c r="AP3">
        <v>87.099270438209118</v>
      </c>
      <c r="AQ3">
        <v>93.984733863868414</v>
      </c>
      <c r="AR3">
        <v>1.0002052964814814</v>
      </c>
      <c r="AS3">
        <v>3000.6158894444443</v>
      </c>
      <c r="AT3">
        <v>36.530370633864941</v>
      </c>
      <c r="AU3">
        <v>4.9281025638328648</v>
      </c>
      <c r="AV3">
        <v>125.17380512135476</v>
      </c>
      <c r="AW3">
        <v>0</v>
      </c>
      <c r="AX3">
        <v>266.7</v>
      </c>
      <c r="AY3">
        <v>1006.6657649723137</v>
      </c>
      <c r="AZ3">
        <v>13205.669389514984</v>
      </c>
      <c r="BA3">
        <v>3.8436721167803261</v>
      </c>
      <c r="BB3">
        <v>5677.4159026289699</v>
      </c>
      <c r="BC3">
        <v>474.89859999999999</v>
      </c>
      <c r="BD3">
        <v>363.97532021131792</v>
      </c>
      <c r="BE3">
        <v>1.0587811363970923</v>
      </c>
      <c r="BF3">
        <v>0.98736919584769289</v>
      </c>
      <c r="BG3">
        <v>1.0408190850839067</v>
      </c>
      <c r="BH3">
        <v>-6.492285889697289</v>
      </c>
      <c r="BI3">
        <v>0.99976793052302659</v>
      </c>
      <c r="BJ3">
        <v>1.0018865461260513</v>
      </c>
      <c r="BK3">
        <v>0.99679386690642668</v>
      </c>
      <c r="BL3">
        <v>0.37277602960070533</v>
      </c>
      <c r="BM3">
        <v>1.0002421859682211</v>
      </c>
      <c r="BN3">
        <v>0.99995337948820606</v>
      </c>
      <c r="BO3">
        <v>1.0002771866709952</v>
      </c>
      <c r="BP3">
        <v>-5.1758045679864369E-2</v>
      </c>
      <c r="BQ3">
        <v>0.99987651004989864</v>
      </c>
      <c r="BR3">
        <v>0.99905952166790146</v>
      </c>
      <c r="BS3">
        <v>1.0002418090645202</v>
      </c>
      <c r="BT3">
        <v>0.9999212870058436</v>
      </c>
      <c r="BU3">
        <v>1.0001797435904178</v>
      </c>
      <c r="BV3">
        <v>-2.8607008310311474E-2</v>
      </c>
      <c r="BW3">
        <v>1</v>
      </c>
      <c r="BX3">
        <v>1</v>
      </c>
      <c r="BY3">
        <v>0</v>
      </c>
      <c r="BZ3">
        <v>1.0032312000000001</v>
      </c>
      <c r="CA3">
        <v>8175.2693231232124</v>
      </c>
      <c r="CB3">
        <v>8286.1880679048991</v>
      </c>
      <c r="CC3">
        <v>0.99678560000000005</v>
      </c>
      <c r="CD3">
        <v>-0.83440000000000003</v>
      </c>
      <c r="CE3">
        <v>1.0005087417163088</v>
      </c>
      <c r="CF3">
        <v>0.99999798441222654</v>
      </c>
      <c r="CG3">
        <v>1.0007489456060963</v>
      </c>
      <c r="CH3">
        <v>-0.11262757127488998</v>
      </c>
      <c r="CI3">
        <v>0.99509201211669052</v>
      </c>
      <c r="CJ3">
        <v>1.0016392961487157</v>
      </c>
      <c r="CK3">
        <v>0.99668423571248432</v>
      </c>
      <c r="CL3">
        <v>0.45768461019801698</v>
      </c>
      <c r="CM3" t="s">
        <v>411</v>
      </c>
      <c r="CN3" t="s">
        <v>412</v>
      </c>
      <c r="CO3" t="s">
        <v>413</v>
      </c>
      <c r="CP3">
        <v>-6.7792740482741323</v>
      </c>
      <c r="CQ3">
        <v>2.8344593257945416E-2</v>
      </c>
      <c r="CR3">
        <v>-2.9566180077077068E-2</v>
      </c>
      <c r="CS3">
        <v>1.5081226311408841E-2</v>
      </c>
      <c r="CT3">
        <v>-2.9520178614628786E-2</v>
      </c>
      <c r="CU3">
        <v>0</v>
      </c>
      <c r="CV3">
        <v>-0.39329118976338784</v>
      </c>
      <c r="CW3">
        <v>-6.209088798527438E-2</v>
      </c>
      <c r="CX3">
        <v>0.60227058056110039</v>
      </c>
      <c r="CY3">
        <v>133.48546998931209</v>
      </c>
      <c r="CZ3">
        <v>-19.648592741450976</v>
      </c>
      <c r="DA3">
        <v>0.4864966476202261</v>
      </c>
      <c r="DB3">
        <v>9.822906236061435</v>
      </c>
      <c r="DC3">
        <v>0.82141605360454173</v>
      </c>
      <c r="DD3">
        <v>0</v>
      </c>
      <c r="DE3">
        <v>33.649663970121154</v>
      </c>
      <c r="DF3">
        <v>2.1032222050389765E-2</v>
      </c>
      <c r="DG3">
        <v>-17.07767057364547</v>
      </c>
    </row>
    <row r="4" spans="1:111" x14ac:dyDescent="0.25">
      <c r="A4" s="34">
        <v>46104</v>
      </c>
      <c r="B4">
        <v>3</v>
      </c>
      <c r="C4" s="35">
        <v>46104.125</v>
      </c>
      <c r="D4" t="s">
        <v>268</v>
      </c>
      <c r="E4">
        <v>121.51912255208335</v>
      </c>
      <c r="F4">
        <v>23.124907791368173</v>
      </c>
      <c r="G4">
        <v>1041.9981870034399</v>
      </c>
      <c r="H4">
        <v>121.51912255208335</v>
      </c>
      <c r="I4">
        <v>23.124907791368173</v>
      </c>
      <c r="J4">
        <v>115.25459120037677</v>
      </c>
      <c r="K4">
        <v>8574.7672063451355</v>
      </c>
      <c r="L4">
        <v>8687.3822011764714</v>
      </c>
      <c r="M4">
        <v>10373.548244513551</v>
      </c>
      <c r="N4">
        <v>10509.787171335267</v>
      </c>
      <c r="O4">
        <v>550.92734777900591</v>
      </c>
      <c r="P4">
        <v>37.007560052034592</v>
      </c>
      <c r="Q4">
        <v>415.47005426966348</v>
      </c>
      <c r="R4" s="126">
        <v>0.32466324430492599</v>
      </c>
      <c r="S4" s="118">
        <v>1.0543538551172797</v>
      </c>
      <c r="T4">
        <v>3.8436721167803261</v>
      </c>
      <c r="U4">
        <v>0.98703694712360124</v>
      </c>
      <c r="V4">
        <v>1.0314553620843154</v>
      </c>
      <c r="W4">
        <v>544.90301029983516</v>
      </c>
      <c r="X4">
        <v>428.53881526190594</v>
      </c>
      <c r="Y4">
        <v>18.223251406364973</v>
      </c>
      <c r="Z4">
        <v>544.90301029983516</v>
      </c>
      <c r="AA4">
        <v>354.99847909636594</v>
      </c>
      <c r="AB4">
        <v>11.343374613877929</v>
      </c>
      <c r="AC4">
        <v>11.278996310212673</v>
      </c>
      <c r="AD4">
        <v>0.86360774044199196</v>
      </c>
      <c r="AE4">
        <v>84.15005273220487</v>
      </c>
      <c r="AF4">
        <v>18.014029798908094</v>
      </c>
      <c r="AG4">
        <v>19.039889998931351</v>
      </c>
      <c r="AH4">
        <v>0.88727584290066097</v>
      </c>
      <c r="AI4">
        <v>1.9836776529130205</v>
      </c>
      <c r="AJ4" t="s">
        <v>200</v>
      </c>
      <c r="AL4">
        <v>19.870079228246482</v>
      </c>
      <c r="AM4">
        <v>84.008573936337356</v>
      </c>
      <c r="AN4">
        <v>1005.7078043023175</v>
      </c>
      <c r="AO4">
        <v>18.223251406364973</v>
      </c>
      <c r="AP4">
        <v>84.008573936337356</v>
      </c>
      <c r="AQ4">
        <v>93.095223316460263</v>
      </c>
      <c r="AR4">
        <v>0.99810058981481464</v>
      </c>
      <c r="AS4">
        <v>2994.3017694444438</v>
      </c>
      <c r="AT4">
        <v>37.007560052034592</v>
      </c>
      <c r="AU4">
        <v>4.962620308665568</v>
      </c>
      <c r="AV4">
        <v>126.05055584010542</v>
      </c>
      <c r="AW4">
        <v>0</v>
      </c>
      <c r="AX4">
        <v>266.7</v>
      </c>
      <c r="AY4">
        <v>1005.7078043023175</v>
      </c>
      <c r="AZ4">
        <v>13205.669389514984</v>
      </c>
      <c r="BA4">
        <v>3.8436721167803261</v>
      </c>
      <c r="BB4">
        <v>5677.4159026289699</v>
      </c>
      <c r="BC4">
        <v>474.89859999999999</v>
      </c>
      <c r="BD4">
        <v>364.10413825704296</v>
      </c>
      <c r="BE4">
        <v>1.0590670429745157</v>
      </c>
      <c r="BF4">
        <v>0.98731374482219303</v>
      </c>
      <c r="BG4">
        <v>1.0410169103640681</v>
      </c>
      <c r="BH4">
        <v>-6.5236899717063999</v>
      </c>
      <c r="BI4">
        <v>0.99977370371377705</v>
      </c>
      <c r="BJ4">
        <v>1.0018428067399532</v>
      </c>
      <c r="BK4">
        <v>0.99686711960646956</v>
      </c>
      <c r="BL4">
        <v>0.36441055974445036</v>
      </c>
      <c r="BM4">
        <v>0.9976052258148409</v>
      </c>
      <c r="BN4">
        <v>1.0004868332387722</v>
      </c>
      <c r="BO4">
        <v>0.99734248700084982</v>
      </c>
      <c r="BP4">
        <v>0.4962056864495204</v>
      </c>
      <c r="BQ4">
        <v>0.99987105645654817</v>
      </c>
      <c r="BR4">
        <v>0.99901384782359093</v>
      </c>
      <c r="BS4">
        <v>1.0001256813117085</v>
      </c>
      <c r="BT4">
        <v>0.99995909975167152</v>
      </c>
      <c r="BU4">
        <v>1.0000934492283362</v>
      </c>
      <c r="BV4">
        <v>-1.4876136292728498E-2</v>
      </c>
      <c r="BW4">
        <v>1</v>
      </c>
      <c r="BX4">
        <v>1</v>
      </c>
      <c r="BY4">
        <v>0</v>
      </c>
      <c r="BZ4">
        <v>1.0032312000000001</v>
      </c>
      <c r="CA4">
        <v>8127.3101292164274</v>
      </c>
      <c r="CB4">
        <v>8234.0485357724792</v>
      </c>
      <c r="CC4">
        <v>0.99678560000000005</v>
      </c>
      <c r="CD4">
        <v>-0.83440000000000003</v>
      </c>
      <c r="CE4">
        <v>0.99986108421391151</v>
      </c>
      <c r="CF4">
        <v>1.00000094386076</v>
      </c>
      <c r="CG4">
        <v>0.99979944144589505</v>
      </c>
      <c r="CH4">
        <v>3.032777243634226E-2</v>
      </c>
      <c r="CI4">
        <v>0.99509201211669052</v>
      </c>
      <c r="CJ4">
        <v>1.0016392961487157</v>
      </c>
      <c r="CK4">
        <v>0.99668423571248432</v>
      </c>
      <c r="CL4">
        <v>0.45768461019801698</v>
      </c>
      <c r="CM4" t="s">
        <v>414</v>
      </c>
      <c r="CN4" t="s">
        <v>415</v>
      </c>
      <c r="CO4" t="s">
        <v>416</v>
      </c>
      <c r="CP4">
        <v>-6.7774512308963129</v>
      </c>
      <c r="CQ4">
        <v>2.7505550542558356E-2</v>
      </c>
      <c r="CR4">
        <v>0.29170943591762882</v>
      </c>
      <c r="CS4">
        <v>1.5671126949657596E-2</v>
      </c>
      <c r="CT4">
        <v>-1.5270763470429485E-2</v>
      </c>
      <c r="CU4">
        <v>0</v>
      </c>
      <c r="CV4">
        <v>-0.39138793609120542</v>
      </c>
      <c r="CW4">
        <v>1.6883269786796957E-2</v>
      </c>
      <c r="CX4">
        <v>0.59935601312624387</v>
      </c>
      <c r="CY4">
        <v>133.29246231945319</v>
      </c>
      <c r="CZ4">
        <v>-19.081281508048733</v>
      </c>
      <c r="DA4">
        <v>-5.0477306863576832</v>
      </c>
      <c r="DB4">
        <v>10.239995372135015</v>
      </c>
      <c r="DC4">
        <v>0.42429805314467645</v>
      </c>
      <c r="DD4">
        <v>0</v>
      </c>
      <c r="DE4">
        <v>33.452262429516658</v>
      </c>
      <c r="DF4">
        <v>-9.791175888701811E-3</v>
      </c>
      <c r="DG4">
        <v>-16.977486557419724</v>
      </c>
    </row>
    <row r="5" spans="1:111" x14ac:dyDescent="0.25">
      <c r="A5" s="34">
        <v>46104</v>
      </c>
      <c r="B5">
        <v>4</v>
      </c>
      <c r="C5" s="35">
        <v>46104.166666666664</v>
      </c>
      <c r="D5" t="s">
        <v>268</v>
      </c>
      <c r="E5">
        <v>121.67575049913198</v>
      </c>
      <c r="F5">
        <v>22.949123846016985</v>
      </c>
      <c r="G5">
        <v>1034.0774396425088</v>
      </c>
      <c r="H5">
        <v>121.67575049913198</v>
      </c>
      <c r="I5">
        <v>22.949123846016985</v>
      </c>
      <c r="J5">
        <v>115.21009562936088</v>
      </c>
      <c r="K5">
        <v>8498.6321054159926</v>
      </c>
      <c r="L5">
        <v>8613.1663684097821</v>
      </c>
      <c r="M5">
        <v>10281.4418206791</v>
      </c>
      <c r="N5">
        <v>10420.002632211883</v>
      </c>
      <c r="O5">
        <v>551.04919430703796</v>
      </c>
      <c r="P5">
        <v>37.151437250448865</v>
      </c>
      <c r="Q5">
        <v>414.29585441340049</v>
      </c>
      <c r="R5" s="126">
        <v>0.32746072342168803</v>
      </c>
      <c r="S5" s="118">
        <v>1.056120558137297</v>
      </c>
      <c r="T5">
        <v>3.8436721167803261</v>
      </c>
      <c r="U5">
        <v>0.98670242067843217</v>
      </c>
      <c r="V5">
        <v>1.0335857921217519</v>
      </c>
      <c r="W5">
        <v>544.61868492260385</v>
      </c>
      <c r="X5">
        <v>428.21030885663259</v>
      </c>
      <c r="Y5">
        <v>18.30408954752922</v>
      </c>
      <c r="Z5">
        <v>544.61868492260385</v>
      </c>
      <c r="AA5">
        <v>355.61163663472502</v>
      </c>
      <c r="AB5">
        <v>11.365242063146697</v>
      </c>
      <c r="AC5">
        <v>11.303218544550678</v>
      </c>
      <c r="AD5">
        <v>0.863542583835467</v>
      </c>
      <c r="AE5">
        <v>84.148475274522568</v>
      </c>
      <c r="AF5">
        <v>17.916704712600517</v>
      </c>
      <c r="AG5">
        <v>19.003691567681102</v>
      </c>
      <c r="AH5">
        <v>0.73470787945434479</v>
      </c>
      <c r="AI5">
        <v>2.8744374894817764</v>
      </c>
      <c r="AJ5" t="s">
        <v>200</v>
      </c>
      <c r="AL5">
        <v>19.376924617103999</v>
      </c>
      <c r="AM5">
        <v>87.171115826780607</v>
      </c>
      <c r="AN5">
        <v>1005.4872440404083</v>
      </c>
      <c r="AO5">
        <v>18.30408954752922</v>
      </c>
      <c r="AP5">
        <v>87.171115826780607</v>
      </c>
      <c r="AQ5">
        <v>93.21302624626513</v>
      </c>
      <c r="AR5">
        <v>1.0001079158333332</v>
      </c>
      <c r="AS5">
        <v>3000.3237475000001</v>
      </c>
      <c r="AT5">
        <v>37.151437250448865</v>
      </c>
      <c r="AU5">
        <v>5.0220460562238394</v>
      </c>
      <c r="AV5">
        <v>127.55996982808551</v>
      </c>
      <c r="AW5">
        <v>0</v>
      </c>
      <c r="AX5">
        <v>266.7</v>
      </c>
      <c r="AY5">
        <v>1005.4872440404083</v>
      </c>
      <c r="AZ5">
        <v>13205.669389514984</v>
      </c>
      <c r="BA5">
        <v>3.8436721167803261</v>
      </c>
      <c r="BB5">
        <v>5677.4159026289699</v>
      </c>
      <c r="BC5">
        <v>474.89859999999999</v>
      </c>
      <c r="BD5">
        <v>363.86823559509605</v>
      </c>
      <c r="BE5">
        <v>1.0585434663102158</v>
      </c>
      <c r="BF5">
        <v>0.98741529149951979</v>
      </c>
      <c r="BG5">
        <v>1.0406546357314432</v>
      </c>
      <c r="BH5">
        <v>-6.4661801212793666</v>
      </c>
      <c r="BI5">
        <v>0.99977045012181798</v>
      </c>
      <c r="BJ5">
        <v>1.0018599875988616</v>
      </c>
      <c r="BK5">
        <v>0.99683920189161479</v>
      </c>
      <c r="BL5">
        <v>0.36744089522061657</v>
      </c>
      <c r="BM5">
        <v>1.0001274098291901</v>
      </c>
      <c r="BN5">
        <v>0.999975459814477</v>
      </c>
      <c r="BO5">
        <v>1.0001457729577126</v>
      </c>
      <c r="BP5">
        <v>-2.7214896439443997E-2</v>
      </c>
      <c r="BQ5">
        <v>0.99986941214570912</v>
      </c>
      <c r="BR5">
        <v>0.9990000767203141</v>
      </c>
      <c r="BS5">
        <v>0.99992583597612794</v>
      </c>
      <c r="BT5">
        <v>1.0000241471382301</v>
      </c>
      <c r="BU5">
        <v>0.99994488485944033</v>
      </c>
      <c r="BV5">
        <v>8.7702228454941064E-3</v>
      </c>
      <c r="BW5">
        <v>1</v>
      </c>
      <c r="BX5">
        <v>1</v>
      </c>
      <c r="BY5">
        <v>0</v>
      </c>
      <c r="BZ5">
        <v>1.0032312000000001</v>
      </c>
      <c r="CA5">
        <v>8055.1479862590704</v>
      </c>
      <c r="CB5">
        <v>8163.7055078070543</v>
      </c>
      <c r="CC5">
        <v>0.99678560000000005</v>
      </c>
      <c r="CD5">
        <v>-0.83440000000000003</v>
      </c>
      <c r="CE5">
        <v>0.99970952944286506</v>
      </c>
      <c r="CF5">
        <v>1.0000019633579367</v>
      </c>
      <c r="CG5">
        <v>0.9995806552501405</v>
      </c>
      <c r="CH5">
        <v>6.3389905020601739E-2</v>
      </c>
      <c r="CI5">
        <v>0.99509201211669052</v>
      </c>
      <c r="CJ5">
        <v>1.0016392961487157</v>
      </c>
      <c r="CK5">
        <v>0.99668423571248432</v>
      </c>
      <c r="CL5">
        <v>0.45768461019801698</v>
      </c>
      <c r="CM5" t="s">
        <v>417</v>
      </c>
      <c r="CN5" t="s">
        <v>418</v>
      </c>
      <c r="CO5" t="s">
        <v>419</v>
      </c>
      <c r="CP5">
        <v>-6.7293601319424745</v>
      </c>
      <c r="CQ5">
        <v>2.7937066655015993E-2</v>
      </c>
      <c r="CR5">
        <v>-1.5500711644646167E-2</v>
      </c>
      <c r="CS5">
        <v>1.5891450407330036E-2</v>
      </c>
      <c r="CT5">
        <v>9.0246325677396724E-3</v>
      </c>
      <c r="CU5">
        <v>0</v>
      </c>
      <c r="CV5">
        <v>-0.39189240228255151</v>
      </c>
      <c r="CW5">
        <v>3.5353492185857788E-2</v>
      </c>
      <c r="CX5">
        <v>0.60012853270929956</v>
      </c>
      <c r="CY5">
        <v>131.03802360747306</v>
      </c>
      <c r="CZ5">
        <v>-19.087851118510738</v>
      </c>
      <c r="DA5">
        <v>0.25231468157365833</v>
      </c>
      <c r="DB5">
        <v>10.290943178887472</v>
      </c>
      <c r="DC5">
        <v>-0.24826140204540195</v>
      </c>
      <c r="DD5">
        <v>0</v>
      </c>
      <c r="DE5">
        <v>33.15524079439929</v>
      </c>
      <c r="DF5">
        <v>-2.0186110766125368E-2</v>
      </c>
      <c r="DG5">
        <v>-16.826743963309895</v>
      </c>
    </row>
    <row r="6" spans="1:111" x14ac:dyDescent="0.25">
      <c r="A6" s="34">
        <v>46104</v>
      </c>
      <c r="B6">
        <v>5</v>
      </c>
      <c r="C6" s="35">
        <v>46104.208333333336</v>
      </c>
      <c r="D6" t="s">
        <v>268</v>
      </c>
      <c r="E6">
        <v>121.78524102864583</v>
      </c>
      <c r="F6">
        <v>23.188587943618025</v>
      </c>
      <c r="G6">
        <v>1044.8675866910448</v>
      </c>
      <c r="H6">
        <v>121.78524102864583</v>
      </c>
      <c r="I6">
        <v>23.188587943618025</v>
      </c>
      <c r="J6">
        <v>115.14837613485736</v>
      </c>
      <c r="K6">
        <v>8579.5912367187029</v>
      </c>
      <c r="L6">
        <v>8697.2626883642897</v>
      </c>
      <c r="M6">
        <v>10379.384241061209</v>
      </c>
      <c r="N6">
        <v>10521.740348378522</v>
      </c>
      <c r="O6">
        <v>550.90972333268462</v>
      </c>
      <c r="P6">
        <v>37.01064740470251</v>
      </c>
      <c r="Q6">
        <v>413.50965984013737</v>
      </c>
      <c r="R6" s="126">
        <v>0.32429441204808201</v>
      </c>
      <c r="S6" s="118">
        <v>1.0576375031638798</v>
      </c>
      <c r="T6">
        <v>3.8436721167803261</v>
      </c>
      <c r="U6">
        <v>0.98647028888721333</v>
      </c>
      <c r="V6">
        <v>1.0356755789447651</v>
      </c>
      <c r="W6">
        <v>544.0794418705749</v>
      </c>
      <c r="X6">
        <v>428.26185635418716</v>
      </c>
      <c r="Y6">
        <v>18.458721557765539</v>
      </c>
      <c r="Z6">
        <v>544.0794418705749</v>
      </c>
      <c r="AA6">
        <v>356.53836461197744</v>
      </c>
      <c r="AB6">
        <v>11.400291739328706</v>
      </c>
      <c r="AC6">
        <v>11.339284928334987</v>
      </c>
      <c r="AD6">
        <v>0.86359791559830601</v>
      </c>
      <c r="AE6">
        <v>84.140729166666674</v>
      </c>
      <c r="AF6">
        <v>18.089430821969806</v>
      </c>
      <c r="AG6">
        <v>19.184712286837897</v>
      </c>
      <c r="AH6">
        <v>0.75674558240615764</v>
      </c>
      <c r="AI6">
        <v>2.7169231642323082</v>
      </c>
      <c r="AJ6" t="s">
        <v>200</v>
      </c>
      <c r="AL6">
        <v>19.607556327967117</v>
      </c>
      <c r="AM6">
        <v>86.754640903805608</v>
      </c>
      <c r="AN6">
        <v>1005.3801285865278</v>
      </c>
      <c r="AO6">
        <v>18.458721557765539</v>
      </c>
      <c r="AP6">
        <v>86.754640903805608</v>
      </c>
      <c r="AQ6">
        <v>93.199084116625613</v>
      </c>
      <c r="AR6">
        <v>1.0022292053703701</v>
      </c>
      <c r="AS6">
        <v>3006.6876161111104</v>
      </c>
      <c r="AT6">
        <v>37.01064740470251</v>
      </c>
      <c r="AU6">
        <v>5.0371441896627989</v>
      </c>
      <c r="AV6">
        <v>127.94346241743509</v>
      </c>
      <c r="AW6">
        <v>0</v>
      </c>
      <c r="AX6">
        <v>266.7</v>
      </c>
      <c r="AY6">
        <v>1005.3801285865278</v>
      </c>
      <c r="AZ6">
        <v>13205.669389514984</v>
      </c>
      <c r="BA6">
        <v>3.8436721167803261</v>
      </c>
      <c r="BB6">
        <v>5677.4159026289699</v>
      </c>
      <c r="BC6">
        <v>474.89859999999999</v>
      </c>
      <c r="BD6">
        <v>363.41698693559471</v>
      </c>
      <c r="BE6">
        <v>1.0575419376883612</v>
      </c>
      <c r="BF6">
        <v>0.98760953603089685</v>
      </c>
      <c r="BG6">
        <v>1.0399616552411248</v>
      </c>
      <c r="BH6">
        <v>-6.3561718547377879</v>
      </c>
      <c r="BI6">
        <v>0.99976538012570693</v>
      </c>
      <c r="BJ6">
        <v>1.0018829118604653</v>
      </c>
      <c r="BK6">
        <v>0.99680258414976941</v>
      </c>
      <c r="BL6">
        <v>0.37129547847072586</v>
      </c>
      <c r="BM6">
        <v>1.002640832566901</v>
      </c>
      <c r="BN6">
        <v>0.99949014099147238</v>
      </c>
      <c r="BO6">
        <v>1.0030170860289069</v>
      </c>
      <c r="BP6">
        <v>-0.56285767696158451</v>
      </c>
      <c r="BQ6">
        <v>0.99987102117251769</v>
      </c>
      <c r="BR6">
        <v>0.99901355231983557</v>
      </c>
      <c r="BS6">
        <v>0.99987491999837785</v>
      </c>
      <c r="BT6">
        <v>1.0000407638027486</v>
      </c>
      <c r="BU6">
        <v>0.9999071395258432</v>
      </c>
      <c r="BV6">
        <v>1.4765093306160474E-2</v>
      </c>
      <c r="BW6">
        <v>1</v>
      </c>
      <c r="BX6">
        <v>1</v>
      </c>
      <c r="BY6">
        <v>0</v>
      </c>
      <c r="BZ6">
        <v>1.0032312000000001</v>
      </c>
      <c r="CA6">
        <v>8131.8824272130114</v>
      </c>
      <c r="CB6">
        <v>8243.4134294973755</v>
      </c>
      <c r="CC6">
        <v>0.99678560000000005</v>
      </c>
      <c r="CD6">
        <v>-0.83440000000000003</v>
      </c>
      <c r="CE6">
        <v>0.99963587928125941</v>
      </c>
      <c r="CF6">
        <v>1.0000024366301861</v>
      </c>
      <c r="CG6">
        <v>0.99947437588480248</v>
      </c>
      <c r="CH6">
        <v>7.9402887614761525E-2</v>
      </c>
      <c r="CI6">
        <v>0.99509201211669052</v>
      </c>
      <c r="CJ6">
        <v>1.0016392961487157</v>
      </c>
      <c r="CK6">
        <v>0.99668423571248432</v>
      </c>
      <c r="CL6">
        <v>0.45768461019801698</v>
      </c>
      <c r="CM6" t="s">
        <v>420</v>
      </c>
      <c r="CN6" t="s">
        <v>421</v>
      </c>
      <c r="CO6" t="s">
        <v>422</v>
      </c>
      <c r="CP6">
        <v>-6.6264594347439028</v>
      </c>
      <c r="CQ6">
        <v>2.8579943363616404E-2</v>
      </c>
      <c r="CR6">
        <v>-0.3207673378441534</v>
      </c>
      <c r="CS6">
        <v>1.5709743816868439E-2</v>
      </c>
      <c r="CT6">
        <v>1.5234803714692142E-2</v>
      </c>
      <c r="CU6">
        <v>0</v>
      </c>
      <c r="CV6">
        <v>-0.39224504861070114</v>
      </c>
      <c r="CW6">
        <v>4.4360682138804765E-2</v>
      </c>
      <c r="CX6">
        <v>0.60066856135554303</v>
      </c>
      <c r="CY6">
        <v>130.21885853512239</v>
      </c>
      <c r="CZ6">
        <v>-19.506736226819964</v>
      </c>
      <c r="DA6">
        <v>5.2947221200458729</v>
      </c>
      <c r="DB6">
        <v>10.248829440154845</v>
      </c>
      <c r="DC6">
        <v>-0.42308592526420907</v>
      </c>
      <c r="DD6">
        <v>0</v>
      </c>
      <c r="DE6">
        <v>33.47108215093197</v>
      </c>
      <c r="DF6">
        <v>-2.5290659330678495E-2</v>
      </c>
      <c r="DG6">
        <v>-16.987037826725228</v>
      </c>
    </row>
    <row r="7" spans="1:111" x14ac:dyDescent="0.25">
      <c r="A7" s="34">
        <v>46104</v>
      </c>
      <c r="B7">
        <v>6</v>
      </c>
      <c r="C7" s="35">
        <v>46104.25</v>
      </c>
      <c r="D7" t="s">
        <v>268</v>
      </c>
      <c r="E7">
        <v>121.85548996093748</v>
      </c>
      <c r="F7">
        <v>23.289851380453111</v>
      </c>
      <c r="G7">
        <v>1049.4304726728553</v>
      </c>
      <c r="H7">
        <v>121.85548996093748</v>
      </c>
      <c r="I7">
        <v>23.289851380453111</v>
      </c>
      <c r="J7">
        <v>115.10196874145957</v>
      </c>
      <c r="K7">
        <v>8612.0902144767169</v>
      </c>
      <c r="L7">
        <v>8731.8942443366977</v>
      </c>
      <c r="M7">
        <v>10418.700726926932</v>
      </c>
      <c r="N7">
        <v>10563.636776353442</v>
      </c>
      <c r="O7">
        <v>550.78357376012821</v>
      </c>
      <c r="P7">
        <v>36.963482890898383</v>
      </c>
      <c r="Q7">
        <v>413.62355053069177</v>
      </c>
      <c r="R7" s="126">
        <v>0.32300822834405202</v>
      </c>
      <c r="S7" s="118">
        <v>1.0586742459170926</v>
      </c>
      <c r="T7">
        <v>3.8436721167803261</v>
      </c>
      <c r="U7">
        <v>0.98627972046985313</v>
      </c>
      <c r="V7">
        <v>1.0362541993681034</v>
      </c>
      <c r="W7">
        <v>543.88164720906582</v>
      </c>
      <c r="X7">
        <v>428.61914119497425</v>
      </c>
      <c r="Y7">
        <v>18.232163595433764</v>
      </c>
      <c r="Z7">
        <v>543.88164720906582</v>
      </c>
      <c r="AA7">
        <v>356.26248206526009</v>
      </c>
      <c r="AB7">
        <v>11.405451897984877</v>
      </c>
      <c r="AC7">
        <v>11.341693694307766</v>
      </c>
      <c r="AD7">
        <v>0.86315756748944705</v>
      </c>
      <c r="AE7">
        <v>84.140989746093737</v>
      </c>
      <c r="AF7">
        <v>17.907411440364299</v>
      </c>
      <c r="AG7">
        <v>18.997900669914351</v>
      </c>
      <c r="AH7">
        <v>0.7721848867066412</v>
      </c>
      <c r="AI7">
        <v>3.2856575816205393</v>
      </c>
      <c r="AJ7" t="s">
        <v>200</v>
      </c>
      <c r="AL7">
        <v>19.332918951146869</v>
      </c>
      <c r="AM7">
        <v>87.453668726092417</v>
      </c>
      <c r="AN7">
        <v>1005.6215769351195</v>
      </c>
      <c r="AO7">
        <v>18.232163595433764</v>
      </c>
      <c r="AP7">
        <v>87.453668726092417</v>
      </c>
      <c r="AQ7">
        <v>93.681317093218468</v>
      </c>
      <c r="AR7">
        <v>1.0017010077777773</v>
      </c>
      <c r="AS7">
        <v>3005.1030233333317</v>
      </c>
      <c r="AT7">
        <v>36.963482890898383</v>
      </c>
      <c r="AU7">
        <v>5.0206395483511024</v>
      </c>
      <c r="AV7">
        <v>127.52424452811799</v>
      </c>
      <c r="AW7">
        <v>0</v>
      </c>
      <c r="AX7">
        <v>266.7</v>
      </c>
      <c r="AY7">
        <v>1005.6215769351195</v>
      </c>
      <c r="AZ7">
        <v>13205.669389514984</v>
      </c>
      <c r="BA7">
        <v>3.8436721167803261</v>
      </c>
      <c r="BB7">
        <v>5677.4159026289699</v>
      </c>
      <c r="BC7">
        <v>474.89859999999999</v>
      </c>
      <c r="BD7">
        <v>364.07813061888078</v>
      </c>
      <c r="BE7">
        <v>1.0590093200462416</v>
      </c>
      <c r="BF7">
        <v>0.98732494007204186</v>
      </c>
      <c r="BG7">
        <v>1.040976970553797</v>
      </c>
      <c r="BH7">
        <v>-6.5173496643596209</v>
      </c>
      <c r="BI7">
        <v>0.99977058478247072</v>
      </c>
      <c r="BJ7">
        <v>1.0018684963381352</v>
      </c>
      <c r="BK7">
        <v>0.99682386022774805</v>
      </c>
      <c r="BL7">
        <v>0.3693937981818427</v>
      </c>
      <c r="BM7">
        <v>1.0020051053358001</v>
      </c>
      <c r="BN7">
        <v>0.99961423062383814</v>
      </c>
      <c r="BO7">
        <v>1.0022956417212119</v>
      </c>
      <c r="BP7">
        <v>-0.42872861435278325</v>
      </c>
      <c r="BQ7">
        <v>0.99987156019553258</v>
      </c>
      <c r="BR7">
        <v>0.99901806663758541</v>
      </c>
      <c r="BS7">
        <v>0.99993059987426025</v>
      </c>
      <c r="BT7">
        <v>1.00002258600674</v>
      </c>
      <c r="BU7">
        <v>0.9999484011291222</v>
      </c>
      <c r="BV7">
        <v>8.213634408887914E-3</v>
      </c>
      <c r="BW7">
        <v>1</v>
      </c>
      <c r="BX7">
        <v>1</v>
      </c>
      <c r="BY7">
        <v>0</v>
      </c>
      <c r="BZ7">
        <v>1.0032312000000001</v>
      </c>
      <c r="CA7">
        <v>8162.6855108146783</v>
      </c>
      <c r="CB7">
        <v>8276.2378069844763</v>
      </c>
      <c r="CC7">
        <v>0.99678560000000005</v>
      </c>
      <c r="CD7">
        <v>-0.83440000000000003</v>
      </c>
      <c r="CE7">
        <v>0.99980184123730387</v>
      </c>
      <c r="CF7">
        <v>1.0000013456159491</v>
      </c>
      <c r="CG7">
        <v>0.99971391136132093</v>
      </c>
      <c r="CH7">
        <v>4.3259684861222988E-2</v>
      </c>
      <c r="CI7">
        <v>0.99509201211669052</v>
      </c>
      <c r="CJ7">
        <v>1.0016392961487157</v>
      </c>
      <c r="CK7">
        <v>0.99668423571248432</v>
      </c>
      <c r="CL7">
        <v>0.45768461019801698</v>
      </c>
      <c r="CM7" t="s">
        <v>423</v>
      </c>
      <c r="CN7" t="s">
        <v>424</v>
      </c>
      <c r="CO7" t="s">
        <v>425</v>
      </c>
      <c r="CP7">
        <v>-6.7899398715230914</v>
      </c>
      <c r="CQ7">
        <v>2.7961918626163155E-2</v>
      </c>
      <c r="CR7">
        <v>-0.24384415989110902</v>
      </c>
      <c r="CS7">
        <v>1.5653105785708013E-2</v>
      </c>
      <c r="CT7">
        <v>8.4573732681315419E-3</v>
      </c>
      <c r="CU7">
        <v>0</v>
      </c>
      <c r="CV7">
        <v>-0.39247130587823903</v>
      </c>
      <c r="CW7">
        <v>2.4151518953501989E-2</v>
      </c>
      <c r="CX7">
        <v>0.60101504279073159</v>
      </c>
      <c r="CY7">
        <v>133.75298316238607</v>
      </c>
      <c r="CZ7">
        <v>-19.430997408884839</v>
      </c>
      <c r="DA7">
        <v>4.0207667685319599</v>
      </c>
      <c r="DB7">
        <v>10.240525350272119</v>
      </c>
      <c r="DC7">
        <v>-0.23531153009256833</v>
      </c>
      <c r="DD7">
        <v>0</v>
      </c>
      <c r="DE7">
        <v>33.59786860547824</v>
      </c>
      <c r="DF7">
        <v>-1.4019551002413918E-2</v>
      </c>
      <c r="DG7">
        <v>-17.051383708629555</v>
      </c>
    </row>
    <row r="8" spans="1:111" x14ac:dyDescent="0.25">
      <c r="A8" s="34">
        <v>46104</v>
      </c>
      <c r="B8">
        <v>20</v>
      </c>
      <c r="C8" s="35">
        <v>46104.833333333336</v>
      </c>
      <c r="D8" t="s">
        <v>268</v>
      </c>
      <c r="E8">
        <v>118.18354038628472</v>
      </c>
      <c r="F8">
        <v>22.361439894967077</v>
      </c>
      <c r="G8">
        <v>1007.5966589600623</v>
      </c>
      <c r="H8">
        <v>118.18354038628472</v>
      </c>
      <c r="I8">
        <v>22.361439894967077</v>
      </c>
      <c r="J8">
        <v>114.29797744814037</v>
      </c>
      <c r="K8">
        <v>8525.6936428433019</v>
      </c>
      <c r="L8">
        <v>8606.5840470092262</v>
      </c>
      <c r="M8">
        <v>10314.180221304738</v>
      </c>
      <c r="N8">
        <v>10412.039497240823</v>
      </c>
      <c r="O8">
        <v>552.15521137387987</v>
      </c>
      <c r="P8">
        <v>33.610158377663296</v>
      </c>
      <c r="Q8">
        <v>417.32216117767337</v>
      </c>
      <c r="R8" s="126">
        <v>0.32771116560825703</v>
      </c>
      <c r="S8" s="118">
        <v>1.0339950279514554</v>
      </c>
      <c r="T8">
        <v>3.8436721167803261</v>
      </c>
      <c r="U8">
        <v>0.990601334545262</v>
      </c>
      <c r="V8">
        <v>1.0173184009867005</v>
      </c>
      <c r="W8">
        <v>548.37751589938682</v>
      </c>
      <c r="X8">
        <v>424.54951370558473</v>
      </c>
      <c r="Y8">
        <v>21.553838505566912</v>
      </c>
      <c r="Z8">
        <v>548.37751589938682</v>
      </c>
      <c r="AA8">
        <v>358.56140605753581</v>
      </c>
      <c r="AB8">
        <v>11.116596447765565</v>
      </c>
      <c r="AC8">
        <v>11.074843873198239</v>
      </c>
      <c r="AD8">
        <v>0.86378216637626204</v>
      </c>
      <c r="AE8">
        <v>84.118319238281245</v>
      </c>
      <c r="AF8">
        <v>21.126610096558228</v>
      </c>
      <c r="AG8">
        <v>20.936066603438594</v>
      </c>
      <c r="AH8">
        <v>0.94869254086003241</v>
      </c>
      <c r="AI8">
        <v>0.92746918787731047</v>
      </c>
      <c r="AJ8" t="s">
        <v>200</v>
      </c>
      <c r="AL8">
        <v>29.453438518195675</v>
      </c>
      <c r="AM8">
        <v>48.281451655850937</v>
      </c>
      <c r="AN8">
        <v>1003.7700373066541</v>
      </c>
      <c r="AO8">
        <v>21.553838505566912</v>
      </c>
      <c r="AP8">
        <v>48.281451655850937</v>
      </c>
      <c r="AQ8">
        <v>77.160974374839071</v>
      </c>
      <c r="AR8">
        <v>0.99865145266203714</v>
      </c>
      <c r="AS8">
        <v>2995.9543579861115</v>
      </c>
      <c r="AT8">
        <v>33.610158377663296</v>
      </c>
      <c r="AU8">
        <v>4.4303519567912168</v>
      </c>
      <c r="AV8">
        <v>112.53093970249691</v>
      </c>
      <c r="AW8">
        <v>0</v>
      </c>
      <c r="AX8">
        <v>266.7</v>
      </c>
      <c r="AY8">
        <v>1003.7700373066541</v>
      </c>
      <c r="AZ8">
        <v>13205.669389514984</v>
      </c>
      <c r="BA8">
        <v>3.8436721167803261</v>
      </c>
      <c r="BB8">
        <v>5677.4159026289699</v>
      </c>
      <c r="BC8">
        <v>474.89859999999999</v>
      </c>
      <c r="BD8">
        <v>354.39724218665719</v>
      </c>
      <c r="BE8">
        <v>1.0374753698756485</v>
      </c>
      <c r="BF8">
        <v>0.99158962469473932</v>
      </c>
      <c r="BG8">
        <v>1.026066593661338</v>
      </c>
      <c r="BH8">
        <v>-4.1494898029266398</v>
      </c>
      <c r="BI8">
        <v>0.99978361510409763</v>
      </c>
      <c r="BJ8">
        <v>1.0015060658556616</v>
      </c>
      <c r="BK8">
        <v>0.99746609068890768</v>
      </c>
      <c r="BL8">
        <v>0.28876181832311454</v>
      </c>
      <c r="BM8">
        <v>0.9981645647320001</v>
      </c>
      <c r="BN8">
        <v>1.0003821081854367</v>
      </c>
      <c r="BO8">
        <v>0.99800292797575807</v>
      </c>
      <c r="BP8">
        <v>0.36652753343711775</v>
      </c>
      <c r="BQ8">
        <v>0.99990988390425528</v>
      </c>
      <c r="BR8">
        <v>0.99933902769813798</v>
      </c>
      <c r="BS8">
        <v>1.0019552546944168</v>
      </c>
      <c r="BT8">
        <v>0.99935100218706974</v>
      </c>
      <c r="BU8">
        <v>1.0014233276151425</v>
      </c>
      <c r="BV8">
        <v>-0.22354848608988259</v>
      </c>
      <c r="BW8">
        <v>1</v>
      </c>
      <c r="BX8">
        <v>1</v>
      </c>
      <c r="BY8">
        <v>0</v>
      </c>
      <c r="BZ8">
        <v>1.0032312000000001</v>
      </c>
      <c r="CA8">
        <v>8080.7973714788104</v>
      </c>
      <c r="CB8">
        <v>8157.4666716841439</v>
      </c>
      <c r="CC8">
        <v>0.99678560000000005</v>
      </c>
      <c r="CD8">
        <v>-0.83440000000000003</v>
      </c>
      <c r="CE8">
        <v>0.99852520838736247</v>
      </c>
      <c r="CF8">
        <v>1.0000078850619145</v>
      </c>
      <c r="CG8">
        <v>0.99787490907754484</v>
      </c>
      <c r="CH8">
        <v>0.31676885256525972</v>
      </c>
      <c r="CI8">
        <v>0.99509201211669052</v>
      </c>
      <c r="CJ8">
        <v>1.0016392961487157</v>
      </c>
      <c r="CK8">
        <v>0.99668423571248432</v>
      </c>
      <c r="CL8">
        <v>0.45768461019801698</v>
      </c>
      <c r="CM8" t="s">
        <v>426</v>
      </c>
      <c r="CN8" t="s">
        <v>427</v>
      </c>
      <c r="CO8" t="s">
        <v>428</v>
      </c>
      <c r="CP8">
        <v>-4.2689899131971831</v>
      </c>
      <c r="CQ8">
        <v>2.5578667921257368E-2</v>
      </c>
      <c r="CR8">
        <v>0.21731710960940334</v>
      </c>
      <c r="CS8">
        <v>1.0651199085387345E-2</v>
      </c>
      <c r="CT8">
        <v>-0.23062798569139423</v>
      </c>
      <c r="CU8">
        <v>0</v>
      </c>
      <c r="CV8">
        <v>-0.3806447164882576</v>
      </c>
      <c r="CW8">
        <v>0.17455352418694034</v>
      </c>
      <c r="CX8">
        <v>0.5829042713232927</v>
      </c>
      <c r="CY8">
        <v>87.481882088040464</v>
      </c>
      <c r="CZ8">
        <v>-15.51047486385</v>
      </c>
      <c r="DA8">
        <v>-3.9396273247813882</v>
      </c>
      <c r="DB8">
        <v>6.8218965273462704</v>
      </c>
      <c r="DC8">
        <v>6.6982275408190839</v>
      </c>
      <c r="DD8">
        <v>0</v>
      </c>
      <c r="DE8">
        <v>33.260814465378331</v>
      </c>
      <c r="DF8">
        <v>-8.1327308371590509E-2</v>
      </c>
      <c r="DG8">
        <v>-16.880324063718369</v>
      </c>
    </row>
    <row r="9" spans="1:111" x14ac:dyDescent="0.25">
      <c r="A9" s="34">
        <v>46104</v>
      </c>
      <c r="B9">
        <v>21</v>
      </c>
      <c r="C9" s="35">
        <v>46104.875</v>
      </c>
      <c r="D9" t="s">
        <v>268</v>
      </c>
      <c r="E9">
        <v>119.22652314236107</v>
      </c>
      <c r="F9">
        <v>22.112270044837</v>
      </c>
      <c r="G9">
        <v>996.36917496601257</v>
      </c>
      <c r="H9">
        <v>119.22652314236107</v>
      </c>
      <c r="I9">
        <v>22.112270044837</v>
      </c>
      <c r="J9">
        <v>114.42634176652381</v>
      </c>
      <c r="K9">
        <v>8356.9423036542739</v>
      </c>
      <c r="L9">
        <v>8450.3656996639256</v>
      </c>
      <c r="M9">
        <v>10110.028887947457</v>
      </c>
      <c r="N9">
        <v>10223.050277607492</v>
      </c>
      <c r="O9">
        <v>550.2034714764103</v>
      </c>
      <c r="P9">
        <v>34.712324356534744</v>
      </c>
      <c r="Q9">
        <v>414.61809272654341</v>
      </c>
      <c r="R9" s="126">
        <v>0.33376942373783802</v>
      </c>
      <c r="S9" s="118">
        <v>1.0419499680032731</v>
      </c>
      <c r="T9">
        <v>3.8436721167803261</v>
      </c>
      <c r="U9">
        <v>0.98894445526619423</v>
      </c>
      <c r="V9">
        <v>1.0248207080783909</v>
      </c>
      <c r="W9">
        <v>545.14381872378897</v>
      </c>
      <c r="X9">
        <v>424.90920737012812</v>
      </c>
      <c r="Y9">
        <v>21.004842422191299</v>
      </c>
      <c r="Z9">
        <v>545.14381872378897</v>
      </c>
      <c r="AA9">
        <v>356.29565111233183</v>
      </c>
      <c r="AB9">
        <v>11.225703525088896</v>
      </c>
      <c r="AC9">
        <v>11.177090025751005</v>
      </c>
      <c r="AD9">
        <v>0.871172291387044</v>
      </c>
      <c r="AE9">
        <v>84.118606855468755</v>
      </c>
      <c r="AF9">
        <v>20.656074545657688</v>
      </c>
      <c r="AG9">
        <v>20.537451937580634</v>
      </c>
      <c r="AH9">
        <v>0.95649547439985494</v>
      </c>
      <c r="AI9">
        <v>0.94254884394586746</v>
      </c>
      <c r="AJ9" t="s">
        <v>200</v>
      </c>
      <c r="AL9">
        <v>28.6728928357633</v>
      </c>
      <c r="AM9">
        <v>49.163914470106754</v>
      </c>
      <c r="AN9">
        <v>1004.3493878304541</v>
      </c>
      <c r="AO9">
        <v>21.004842422191299</v>
      </c>
      <c r="AP9">
        <v>49.163914470106754</v>
      </c>
      <c r="AQ9">
        <v>77.677787015579327</v>
      </c>
      <c r="AR9">
        <v>1.0017674133101848</v>
      </c>
      <c r="AS9">
        <v>3005.3022399305546</v>
      </c>
      <c r="AT9">
        <v>34.712324356534744</v>
      </c>
      <c r="AU9">
        <v>4.4922569842387556</v>
      </c>
      <c r="AV9">
        <v>114.10332739966438</v>
      </c>
      <c r="AW9">
        <v>0</v>
      </c>
      <c r="AX9">
        <v>266.7</v>
      </c>
      <c r="AY9">
        <v>1004.3493878304541</v>
      </c>
      <c r="AZ9">
        <v>13205.669389514984</v>
      </c>
      <c r="BA9">
        <v>3.8436721167803261</v>
      </c>
      <c r="BB9">
        <v>5677.4159026289699</v>
      </c>
      <c r="BC9">
        <v>474.89859999999999</v>
      </c>
      <c r="BD9">
        <v>355.98687188215473</v>
      </c>
      <c r="BE9">
        <v>1.0410510900525665</v>
      </c>
      <c r="BF9">
        <v>0.99080790390688844</v>
      </c>
      <c r="BG9">
        <v>1.0285512617375872</v>
      </c>
      <c r="BH9">
        <v>-4.5448111780398319</v>
      </c>
      <c r="BI9">
        <v>0.99979108985940035</v>
      </c>
      <c r="BJ9">
        <v>1.0014788665564698</v>
      </c>
      <c r="BK9">
        <v>0.99750733826040472</v>
      </c>
      <c r="BL9">
        <v>0.28485728262087195</v>
      </c>
      <c r="BM9">
        <v>1.0022105036021167</v>
      </c>
      <c r="BN9">
        <v>0.99955744382847356</v>
      </c>
      <c r="BO9">
        <v>1.0024687146689784</v>
      </c>
      <c r="BP9">
        <v>-0.45516962287321761</v>
      </c>
      <c r="BQ9">
        <v>0.99989728772163955</v>
      </c>
      <c r="BR9">
        <v>0.99923353466873166</v>
      </c>
      <c r="BS9">
        <v>1.0017377874139617</v>
      </c>
      <c r="BT9">
        <v>0.99942491731682581</v>
      </c>
      <c r="BU9">
        <v>1.0012692610176122</v>
      </c>
      <c r="BV9">
        <v>-0.19933003558945703</v>
      </c>
      <c r="BW9">
        <v>1</v>
      </c>
      <c r="BX9">
        <v>1</v>
      </c>
      <c r="BY9">
        <v>0</v>
      </c>
      <c r="BZ9">
        <v>1.0032312000000001</v>
      </c>
      <c r="CA9">
        <v>7920.8519834226827</v>
      </c>
      <c r="CB9">
        <v>8009.4002663583633</v>
      </c>
      <c r="CC9">
        <v>0.99678560000000005</v>
      </c>
      <c r="CD9">
        <v>-0.83440000000000003</v>
      </c>
      <c r="CE9">
        <v>0.99892502573243314</v>
      </c>
      <c r="CF9">
        <v>1.0000060033132294</v>
      </c>
      <c r="CG9">
        <v>0.99845052850747118</v>
      </c>
      <c r="CH9">
        <v>0.23151619106223087</v>
      </c>
      <c r="CI9">
        <v>0.99509201211669052</v>
      </c>
      <c r="CJ9">
        <v>1.0016392961487157</v>
      </c>
      <c r="CK9">
        <v>0.99668423571248432</v>
      </c>
      <c r="CL9">
        <v>0.45768461019801698</v>
      </c>
      <c r="CM9" t="s">
        <v>429</v>
      </c>
      <c r="CN9" t="s">
        <v>430</v>
      </c>
      <c r="CO9" t="s">
        <v>431</v>
      </c>
      <c r="CP9">
        <v>-4.7013818869584325</v>
      </c>
      <c r="CQ9">
        <v>2.4912834256588922E-2</v>
      </c>
      <c r="CR9">
        <v>-0.26296936414735339</v>
      </c>
      <c r="CS9">
        <v>1.2247285779571992E-2</v>
      </c>
      <c r="CT9">
        <v>-0.20683092315213303</v>
      </c>
      <c r="CU9">
        <v>0</v>
      </c>
      <c r="CV9">
        <v>-0.38400394802076382</v>
      </c>
      <c r="CW9">
        <v>0.12830336720768801</v>
      </c>
      <c r="CX9">
        <v>0.58804846569626812</v>
      </c>
      <c r="CY9">
        <v>93.794525332005904</v>
      </c>
      <c r="CZ9">
        <v>-14.929305157220393</v>
      </c>
      <c r="DA9">
        <v>4.4762366648322578</v>
      </c>
      <c r="DB9">
        <v>7.7549305261278487</v>
      </c>
      <c r="DC9">
        <v>5.8174480534861797</v>
      </c>
      <c r="DD9">
        <v>0</v>
      </c>
      <c r="DE9">
        <v>32.602474250648484</v>
      </c>
      <c r="DF9">
        <v>-6.0693305812389964E-2</v>
      </c>
      <c r="DG9">
        <v>-16.546207285538287</v>
      </c>
    </row>
    <row r="10" spans="1:111" x14ac:dyDescent="0.25">
      <c r="A10" s="34">
        <v>46104</v>
      </c>
      <c r="B10">
        <v>22</v>
      </c>
      <c r="C10" s="35">
        <v>46104.916666666664</v>
      </c>
      <c r="D10" t="s">
        <v>268</v>
      </c>
      <c r="E10">
        <v>119.5446637326389</v>
      </c>
      <c r="F10">
        <v>22.502601587175267</v>
      </c>
      <c r="G10">
        <v>1013.9573428028827</v>
      </c>
      <c r="H10">
        <v>119.5446637326389</v>
      </c>
      <c r="I10">
        <v>22.502601587175267</v>
      </c>
      <c r="J10">
        <v>114.42812629035571</v>
      </c>
      <c r="K10">
        <v>8481.828557990626</v>
      </c>
      <c r="L10">
        <v>8579.5138751926061</v>
      </c>
      <c r="M10">
        <v>10261.113290970792</v>
      </c>
      <c r="N10">
        <v>10379.290650937544</v>
      </c>
      <c r="O10">
        <v>548.96847112638466</v>
      </c>
      <c r="P10">
        <v>33.782921848335263</v>
      </c>
      <c r="Q10">
        <v>414.50273965749557</v>
      </c>
      <c r="R10" s="126">
        <v>0.32874516330186698</v>
      </c>
      <c r="S10" s="118">
        <v>1.0447139842987574</v>
      </c>
      <c r="T10">
        <v>3.8436721167803261</v>
      </c>
      <c r="U10">
        <v>0.98861411979477831</v>
      </c>
      <c r="V10">
        <v>1.027171629742075</v>
      </c>
      <c r="W10">
        <v>543.5319360187616</v>
      </c>
      <c r="X10">
        <v>425.76545462654474</v>
      </c>
      <c r="Y10">
        <v>20.682344847011567</v>
      </c>
      <c r="Z10">
        <v>543.5319360187616</v>
      </c>
      <c r="AA10">
        <v>356.02646007444599</v>
      </c>
      <c r="AB10">
        <v>11.297171917975477</v>
      </c>
      <c r="AC10">
        <v>11.241577118339118</v>
      </c>
      <c r="AD10">
        <v>0.87295146632748499</v>
      </c>
      <c r="AE10">
        <v>84.119804550781254</v>
      </c>
      <c r="AF10">
        <v>20.326374533247098</v>
      </c>
      <c r="AG10">
        <v>20.335971730646545</v>
      </c>
      <c r="AH10">
        <v>0.95252762390067869</v>
      </c>
      <c r="AI10">
        <v>0.95374831393539283</v>
      </c>
      <c r="AJ10" t="s">
        <v>200</v>
      </c>
      <c r="AL10">
        <v>27.824847182261152</v>
      </c>
      <c r="AM10">
        <v>51.189621636301688</v>
      </c>
      <c r="AN10">
        <v>1004.945462638482</v>
      </c>
      <c r="AO10">
        <v>20.682344847011567</v>
      </c>
      <c r="AP10">
        <v>51.189621636301688</v>
      </c>
      <c r="AQ10">
        <v>78.531021549810816</v>
      </c>
      <c r="AR10">
        <v>1.0020764703009262</v>
      </c>
      <c r="AS10">
        <v>3006.2294109027785</v>
      </c>
      <c r="AT10">
        <v>33.782921848335263</v>
      </c>
      <c r="AU10">
        <v>4.5339892940978217</v>
      </c>
      <c r="AV10">
        <v>115.16332807008466</v>
      </c>
      <c r="AW10">
        <v>0</v>
      </c>
      <c r="AX10">
        <v>266.7</v>
      </c>
      <c r="AY10">
        <v>1004.945462638482</v>
      </c>
      <c r="AZ10">
        <v>13205.669389514984</v>
      </c>
      <c r="BA10">
        <v>3.8436721167803261</v>
      </c>
      <c r="BB10">
        <v>5677.4159026289699</v>
      </c>
      <c r="BC10">
        <v>474.89859999999999</v>
      </c>
      <c r="BD10">
        <v>356.92798749120544</v>
      </c>
      <c r="BE10">
        <v>1.0431398590695871</v>
      </c>
      <c r="BF10">
        <v>0.99040279121214114</v>
      </c>
      <c r="BG10">
        <v>1.0299965286485779</v>
      </c>
      <c r="BH10">
        <v>-4.774242323345165</v>
      </c>
      <c r="BI10">
        <v>0.99979158935877988</v>
      </c>
      <c r="BJ10">
        <v>1.0014893279070647</v>
      </c>
      <c r="BK10">
        <v>0.99748685937541781</v>
      </c>
      <c r="BL10">
        <v>0.28777734316879794</v>
      </c>
      <c r="BM10">
        <v>1.0025796698501253</v>
      </c>
      <c r="BN10">
        <v>0.99948575870547662</v>
      </c>
      <c r="BO10">
        <v>1.0028889999786768</v>
      </c>
      <c r="BP10">
        <v>-0.5334363587016584</v>
      </c>
      <c r="BQ10">
        <v>0.99990790946459041</v>
      </c>
      <c r="BR10">
        <v>0.99932249176594501</v>
      </c>
      <c r="BS10">
        <v>1.001591824093919</v>
      </c>
      <c r="BT10">
        <v>0.99947421404185843</v>
      </c>
      <c r="BU10">
        <v>1.0011650267647554</v>
      </c>
      <c r="BV10">
        <v>-0.18319079725126614</v>
      </c>
      <c r="BW10">
        <v>1</v>
      </c>
      <c r="BX10">
        <v>1</v>
      </c>
      <c r="BY10">
        <v>0</v>
      </c>
      <c r="BZ10">
        <v>1.0032312000000001</v>
      </c>
      <c r="CA10">
        <v>8039.2212983490017</v>
      </c>
      <c r="CB10">
        <v>8131.8091026434304</v>
      </c>
      <c r="CC10">
        <v>0.99678560000000005</v>
      </c>
      <c r="CD10">
        <v>-0.83440000000000003</v>
      </c>
      <c r="CE10">
        <v>0.99933581045192077</v>
      </c>
      <c r="CF10">
        <v>1.0000038021949123</v>
      </c>
      <c r="CG10">
        <v>0.99904245529162261</v>
      </c>
      <c r="CH10">
        <v>0.14327241830825985</v>
      </c>
      <c r="CI10">
        <v>0.99509201211669052</v>
      </c>
      <c r="CJ10">
        <v>1.0016392961487157</v>
      </c>
      <c r="CK10">
        <v>0.99668423571248432</v>
      </c>
      <c r="CL10">
        <v>0.45768461019801698</v>
      </c>
      <c r="CM10" t="s">
        <v>432</v>
      </c>
      <c r="CN10" t="s">
        <v>433</v>
      </c>
      <c r="CO10" t="s">
        <v>434</v>
      </c>
      <c r="CP10">
        <v>-4.9438624179762884</v>
      </c>
      <c r="CQ10">
        <v>2.4919573527248419E-2</v>
      </c>
      <c r="CR10">
        <v>-0.30759227824811697</v>
      </c>
      <c r="CS10">
        <v>1.1009946000319862E-2</v>
      </c>
      <c r="CT10">
        <v>-0.18999164275447442</v>
      </c>
      <c r="CU10">
        <v>0</v>
      </c>
      <c r="CV10">
        <v>-0.38502861299859314</v>
      </c>
      <c r="CW10">
        <v>7.9453088090535751E-2</v>
      </c>
      <c r="CX10">
        <v>0.58961759713663731</v>
      </c>
      <c r="CY10">
        <v>99.432319378657752</v>
      </c>
      <c r="CZ10">
        <v>-15.259436077798535</v>
      </c>
      <c r="DA10">
        <v>5.2794030690690903</v>
      </c>
      <c r="DB10">
        <v>6.9567019680693116</v>
      </c>
      <c r="DC10">
        <v>5.3979874693065826</v>
      </c>
      <c r="DD10">
        <v>0</v>
      </c>
      <c r="DE10">
        <v>33.089686049332364</v>
      </c>
      <c r="DF10">
        <v>-3.9014604407545561E-2</v>
      </c>
      <c r="DG10">
        <v>-16.793474022136447</v>
      </c>
    </row>
    <row r="11" spans="1:111" x14ac:dyDescent="0.25">
      <c r="A11" s="34">
        <v>46104</v>
      </c>
      <c r="B11">
        <v>23</v>
      </c>
      <c r="C11" s="35">
        <v>46104.958333333336</v>
      </c>
      <c r="D11" t="s">
        <v>268</v>
      </c>
      <c r="E11">
        <v>118.46427379774308</v>
      </c>
      <c r="F11">
        <v>22.375129471587609</v>
      </c>
      <c r="G11">
        <v>1008.2135052691647</v>
      </c>
      <c r="H11">
        <v>118.46427379774308</v>
      </c>
      <c r="I11">
        <v>22.375129471587609</v>
      </c>
      <c r="J11">
        <v>113.6772529363172</v>
      </c>
      <c r="K11">
        <v>8510.6967100521124</v>
      </c>
      <c r="L11">
        <v>8604.9939809491225</v>
      </c>
      <c r="M11">
        <v>10296.037290763834</v>
      </c>
      <c r="N11">
        <v>10410.115873358152</v>
      </c>
      <c r="O11">
        <v>551.27000831403029</v>
      </c>
      <c r="P11">
        <v>33.894344270084169</v>
      </c>
      <c r="Q11">
        <v>415.93101239365234</v>
      </c>
      <c r="R11" s="126">
        <v>0.32777172142074301</v>
      </c>
      <c r="S11" s="118">
        <v>1.0421106310873609</v>
      </c>
      <c r="T11">
        <v>3.8436721167803261</v>
      </c>
      <c r="U11">
        <v>0.98904156457218007</v>
      </c>
      <c r="V11">
        <v>1.0237509887032954</v>
      </c>
      <c r="W11">
        <v>546.48118446741739</v>
      </c>
      <c r="X11">
        <v>425.80978517036419</v>
      </c>
      <c r="Y11">
        <v>20.438806672732035</v>
      </c>
      <c r="Z11">
        <v>546.48118446741739</v>
      </c>
      <c r="AA11">
        <v>357.17533634209525</v>
      </c>
      <c r="AB11">
        <v>11.240549616355365</v>
      </c>
      <c r="AC11">
        <v>11.18493330459706</v>
      </c>
      <c r="AD11">
        <v>0.86611115968448005</v>
      </c>
      <c r="AE11">
        <v>84.118502089843744</v>
      </c>
      <c r="AF11">
        <v>19.912341190917477</v>
      </c>
      <c r="AG11">
        <v>19.986944153084753</v>
      </c>
      <c r="AH11">
        <v>0.92695774207802883</v>
      </c>
      <c r="AI11">
        <v>0.93665254257652608</v>
      </c>
      <c r="AJ11" t="s">
        <v>200</v>
      </c>
      <c r="AL11">
        <v>27.120024753725254</v>
      </c>
      <c r="AM11">
        <v>52.160187670031654</v>
      </c>
      <c r="AN11">
        <v>1004.9724312379624</v>
      </c>
      <c r="AO11">
        <v>20.438806672732035</v>
      </c>
      <c r="AP11">
        <v>52.160187670031654</v>
      </c>
      <c r="AQ11">
        <v>77.951280591766533</v>
      </c>
      <c r="AR11">
        <v>0.99883806844907408</v>
      </c>
      <c r="AS11">
        <v>2996.5142053472223</v>
      </c>
      <c r="AT11">
        <v>33.894344270084169</v>
      </c>
      <c r="AU11">
        <v>4.5077121147741215</v>
      </c>
      <c r="AV11">
        <v>114.49588771526268</v>
      </c>
      <c r="AW11">
        <v>0</v>
      </c>
      <c r="AX11">
        <v>266.7</v>
      </c>
      <c r="AY11">
        <v>1004.9724312379624</v>
      </c>
      <c r="AZ11">
        <v>13205.669389514984</v>
      </c>
      <c r="BA11">
        <v>3.8436721167803261</v>
      </c>
      <c r="BB11">
        <v>5677.4159026289699</v>
      </c>
      <c r="BC11">
        <v>474.89859999999999</v>
      </c>
      <c r="BD11">
        <v>357.63868299670327</v>
      </c>
      <c r="BE11">
        <v>1.0447172197446661</v>
      </c>
      <c r="BF11">
        <v>0.99009686517222828</v>
      </c>
      <c r="BG11">
        <v>1.0310879404666453</v>
      </c>
      <c r="BH11">
        <v>-4.9475001911582277</v>
      </c>
      <c r="BI11">
        <v>0.99980108738990248</v>
      </c>
      <c r="BJ11">
        <v>1.00143613949412</v>
      </c>
      <c r="BK11">
        <v>0.99757453426560638</v>
      </c>
      <c r="BL11">
        <v>0.27804669727294956</v>
      </c>
      <c r="BM11">
        <v>0.99845755344139464</v>
      </c>
      <c r="BN11">
        <v>1.000318712319298</v>
      </c>
      <c r="BO11">
        <v>0.99831110096271303</v>
      </c>
      <c r="BP11">
        <v>0.31170157708271862</v>
      </c>
      <c r="BQ11">
        <v>0.99990663606548469</v>
      </c>
      <c r="BR11">
        <v>0.9993118270484348</v>
      </c>
      <c r="BS11">
        <v>1.0016789715924233</v>
      </c>
      <c r="BT11">
        <v>0.99944622813937567</v>
      </c>
      <c r="BU11">
        <v>1.0012307197130645</v>
      </c>
      <c r="BV11">
        <v>-0.19375787629317376</v>
      </c>
      <c r="BW11">
        <v>1</v>
      </c>
      <c r="BX11">
        <v>1</v>
      </c>
      <c r="BY11">
        <v>0</v>
      </c>
      <c r="BZ11">
        <v>1.0032312000000001</v>
      </c>
      <c r="CA11">
        <v>8066.5830236314632</v>
      </c>
      <c r="CB11">
        <v>8155.9595800412544</v>
      </c>
      <c r="CC11">
        <v>0.99678560000000005</v>
      </c>
      <c r="CD11">
        <v>-0.83440000000000003</v>
      </c>
      <c r="CE11">
        <v>0.99935452735560437</v>
      </c>
      <c r="CF11">
        <v>1.0000037633024226</v>
      </c>
      <c r="CG11">
        <v>0.9990693070291905</v>
      </c>
      <c r="CH11">
        <v>0.13940133628486656</v>
      </c>
      <c r="CI11">
        <v>0.99509201211669052</v>
      </c>
      <c r="CJ11">
        <v>1.0016392961487157</v>
      </c>
      <c r="CK11">
        <v>0.99668423571248432</v>
      </c>
      <c r="CL11">
        <v>0.45768461019801698</v>
      </c>
      <c r="CM11" t="s">
        <v>435</v>
      </c>
      <c r="CN11" t="s">
        <v>436</v>
      </c>
      <c r="CO11" t="s">
        <v>437</v>
      </c>
      <c r="CP11">
        <v>-5.0706476960346132</v>
      </c>
      <c r="CQ11">
        <v>2.3568726021236809E-2</v>
      </c>
      <c r="CR11">
        <v>0.18300709009333055</v>
      </c>
      <c r="CS11">
        <v>1.1061323429931083E-2</v>
      </c>
      <c r="CT11">
        <v>-0.19856476582239399</v>
      </c>
      <c r="CU11">
        <v>0</v>
      </c>
      <c r="CV11">
        <v>-0.38154890068737768</v>
      </c>
      <c r="CW11">
        <v>7.6514836308368819E-2</v>
      </c>
      <c r="CX11">
        <v>0.58428890326194816</v>
      </c>
      <c r="CY11">
        <v>102.98289901611058</v>
      </c>
      <c r="CZ11">
        <v>-14.765340697279182</v>
      </c>
      <c r="DA11">
        <v>-3.28042841157052</v>
      </c>
      <c r="DB11">
        <v>7.0903337477122657</v>
      </c>
      <c r="DC11">
        <v>5.7048148935228618</v>
      </c>
      <c r="DD11">
        <v>0</v>
      </c>
      <c r="DE11">
        <v>33.202307765511598</v>
      </c>
      <c r="DF11">
        <v>-3.8746956263314217E-2</v>
      </c>
      <c r="DG11">
        <v>-16.850631103112214</v>
      </c>
    </row>
    <row r="12" spans="1:111" x14ac:dyDescent="0.25">
      <c r="A12" s="34">
        <v>46104</v>
      </c>
      <c r="B12">
        <v>24</v>
      </c>
      <c r="C12" s="35">
        <v>46105</v>
      </c>
      <c r="D12" t="s">
        <v>268</v>
      </c>
      <c r="E12">
        <v>119.38461189670139</v>
      </c>
      <c r="F12">
        <v>22.857648466188635</v>
      </c>
      <c r="G12">
        <v>1029.955599209823</v>
      </c>
      <c r="H12">
        <v>119.38461189670139</v>
      </c>
      <c r="I12">
        <v>22.857648466188635</v>
      </c>
      <c r="J12">
        <v>114.01734325423595</v>
      </c>
      <c r="K12">
        <v>8627.2056578028787</v>
      </c>
      <c r="L12">
        <v>8730.4853259524843</v>
      </c>
      <c r="M12">
        <v>10436.987028678088</v>
      </c>
      <c r="N12">
        <v>10561.932300595732</v>
      </c>
      <c r="O12">
        <v>551.03866810207944</v>
      </c>
      <c r="P12">
        <v>33.350294284631929</v>
      </c>
      <c r="Q12">
        <v>415.07360287003763</v>
      </c>
      <c r="R12" s="126">
        <v>0.323060355140464</v>
      </c>
      <c r="S12" s="118">
        <v>1.0470741423126961</v>
      </c>
      <c r="T12">
        <v>3.8436721167803261</v>
      </c>
      <c r="U12">
        <v>0.98817022601909721</v>
      </c>
      <c r="V12">
        <v>1.0277575765652449</v>
      </c>
      <c r="W12">
        <v>545.56313616346563</v>
      </c>
      <c r="X12">
        <v>426.59504018191478</v>
      </c>
      <c r="Y12">
        <v>19.928095740557772</v>
      </c>
      <c r="Z12">
        <v>545.56313616346563</v>
      </c>
      <c r="AA12">
        <v>357.37543466518815</v>
      </c>
      <c r="AB12">
        <v>11.303973327186375</v>
      </c>
      <c r="AC12">
        <v>11.249662307167256</v>
      </c>
      <c r="AD12">
        <v>0.86563990867543406</v>
      </c>
      <c r="AE12">
        <v>84.120480595703143</v>
      </c>
      <c r="AF12">
        <v>19.632085498500338</v>
      </c>
      <c r="AG12">
        <v>19.795883402376699</v>
      </c>
      <c r="AH12">
        <v>0.95626208632468956</v>
      </c>
      <c r="AI12">
        <v>0.97998002200703238</v>
      </c>
      <c r="AJ12" t="s">
        <v>200</v>
      </c>
      <c r="AL12">
        <v>26.399903558019009</v>
      </c>
      <c r="AM12">
        <v>54.048312750688126</v>
      </c>
      <c r="AN12">
        <v>1004.8277911404076</v>
      </c>
      <c r="AO12">
        <v>19.928095740557772</v>
      </c>
      <c r="AP12">
        <v>54.048312750688126</v>
      </c>
      <c r="AQ12">
        <v>79.908947631466106</v>
      </c>
      <c r="AR12">
        <v>1.0002258780324074</v>
      </c>
      <c r="AS12">
        <v>3000.6776340972224</v>
      </c>
      <c r="AT12">
        <v>33.350294284631929</v>
      </c>
      <c r="AU12">
        <v>4.5456176963994217</v>
      </c>
      <c r="AV12">
        <v>115.4586894885453</v>
      </c>
      <c r="AW12">
        <v>0</v>
      </c>
      <c r="AX12">
        <v>266.7</v>
      </c>
      <c r="AY12">
        <v>1004.8277911404076</v>
      </c>
      <c r="AZ12">
        <v>13205.669389514984</v>
      </c>
      <c r="BA12">
        <v>3.8436721167803261</v>
      </c>
      <c r="BB12">
        <v>5677.4159026289699</v>
      </c>
      <c r="BC12">
        <v>474.89859999999999</v>
      </c>
      <c r="BD12">
        <v>359.12904468303282</v>
      </c>
      <c r="BE12">
        <v>1.0480250187914799</v>
      </c>
      <c r="BF12">
        <v>0.98945532397039204</v>
      </c>
      <c r="BG12">
        <v>1.0333766820515746</v>
      </c>
      <c r="BH12">
        <v>-5.3108300364241767</v>
      </c>
      <c r="BI12">
        <v>0.99979850246745894</v>
      </c>
      <c r="BJ12">
        <v>1.0014774209816912</v>
      </c>
      <c r="BK12">
        <v>0.99749998338867418</v>
      </c>
      <c r="BL12">
        <v>0.28776813901277576</v>
      </c>
      <c r="BM12">
        <v>1.0002761965257394</v>
      </c>
      <c r="BN12">
        <v>0.99994551159356526</v>
      </c>
      <c r="BO12">
        <v>1.0003113635299066</v>
      </c>
      <c r="BP12">
        <v>-5.7689739583221489E-2</v>
      </c>
      <c r="BQ12">
        <v>0.99991325703107004</v>
      </c>
      <c r="BR12">
        <v>0.99936388489451344</v>
      </c>
      <c r="BS12">
        <v>1.0015446380478823</v>
      </c>
      <c r="BT12">
        <v>0.99949208455965743</v>
      </c>
      <c r="BU12">
        <v>1.0011359557590014</v>
      </c>
      <c r="BV12">
        <v>-0.17929827108966201</v>
      </c>
      <c r="BW12">
        <v>1</v>
      </c>
      <c r="BX12">
        <v>1</v>
      </c>
      <c r="BY12">
        <v>0</v>
      </c>
      <c r="BZ12">
        <v>1.0032312000000001</v>
      </c>
      <c r="CA12">
        <v>8177.0121849617517</v>
      </c>
      <c r="CB12">
        <v>8274.902410188306</v>
      </c>
      <c r="CC12">
        <v>0.99678560000000005</v>
      </c>
      <c r="CD12">
        <v>-0.83440000000000003</v>
      </c>
      <c r="CE12">
        <v>0.99925530292520026</v>
      </c>
      <c r="CF12">
        <v>1.0000045070605348</v>
      </c>
      <c r="CG12">
        <v>0.99892591805592112</v>
      </c>
      <c r="CH12">
        <v>0.16123335927245988</v>
      </c>
      <c r="CI12">
        <v>0.99509201211669052</v>
      </c>
      <c r="CJ12">
        <v>1.0016392961487157</v>
      </c>
      <c r="CK12">
        <v>0.99668423571248432</v>
      </c>
      <c r="CL12">
        <v>0.45768461019801698</v>
      </c>
      <c r="CM12" t="s">
        <v>438</v>
      </c>
      <c r="CN12" t="s">
        <v>439</v>
      </c>
      <c r="CO12" t="s">
        <v>440</v>
      </c>
      <c r="CP12">
        <v>-5.4707169456355986</v>
      </c>
      <c r="CQ12">
        <v>2.4060552862583216E-2</v>
      </c>
      <c r="CR12">
        <v>-3.2964510349387514E-2</v>
      </c>
      <c r="CS12">
        <v>1.035667404911412E-2</v>
      </c>
      <c r="CT12">
        <v>-0.18412161261902307</v>
      </c>
      <c r="CU12">
        <v>0</v>
      </c>
      <c r="CV12">
        <v>-0.38451311916997094</v>
      </c>
      <c r="CW12">
        <v>8.8971628166799488E-2</v>
      </c>
      <c r="CX12">
        <v>0.58882819026579747</v>
      </c>
      <c r="CY12">
        <v>111.22750494788879</v>
      </c>
      <c r="CZ12">
        <v>-15.397075659172419</v>
      </c>
      <c r="DA12">
        <v>0.56872578013342756</v>
      </c>
      <c r="DB12">
        <v>6.643351040657361</v>
      </c>
      <c r="DC12">
        <v>5.3038007448109257</v>
      </c>
      <c r="DD12">
        <v>0</v>
      </c>
      <c r="DE12">
        <v>33.656837643904268</v>
      </c>
      <c r="DF12">
        <v>-4.7039920326996998E-2</v>
      </c>
      <c r="DG12">
        <v>-17.08131131245878</v>
      </c>
    </row>
  </sheetData>
  <phoneticPr fontId="4" type="noConversion"/>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4491CB-1F02-4A5B-9841-861229C3413F}">
  <sheetPr codeName="Sheet9"/>
  <dimension ref="A1:DJ12"/>
  <sheetViews>
    <sheetView workbookViewId="0">
      <selection activeCell="B1" sqref="B1"/>
    </sheetView>
  </sheetViews>
  <sheetFormatPr defaultColWidth="8.88671875" defaultRowHeight="13.2" x14ac:dyDescent="0.25"/>
  <cols>
    <col min="1" max="1" width="9.5546875" bestFit="1" customWidth="1"/>
    <col min="2" max="2" width="5.33203125" bestFit="1" customWidth="1"/>
    <col min="3" max="3" width="14.33203125" bestFit="1" customWidth="1"/>
    <col min="4" max="4" width="8.109375" bestFit="1" customWidth="1" collapsed="1"/>
    <col min="5" max="5" width="14.88671875" bestFit="1" customWidth="1"/>
    <col min="6" max="6" width="14" bestFit="1" customWidth="1"/>
    <col min="7" max="7" width="12" bestFit="1" customWidth="1"/>
    <col min="8" max="8" width="20.109375" bestFit="1" customWidth="1"/>
    <col min="9" max="9" width="15.77734375" bestFit="1" customWidth="1"/>
    <col min="10" max="10" width="20.44140625" bestFit="1" customWidth="1"/>
    <col min="11" max="11" width="17.6640625" bestFit="1" customWidth="1"/>
    <col min="12" max="12" width="18" bestFit="1" customWidth="1" collapsed="1"/>
    <col min="13" max="13" width="21.6640625" bestFit="1" customWidth="1"/>
    <col min="14" max="14" width="28" bestFit="1" customWidth="1" collapsed="1"/>
    <col min="15" max="15" width="22" style="54" bestFit="1" customWidth="1"/>
    <col min="16" max="16" width="16.44140625" bestFit="1" customWidth="1"/>
    <col min="17" max="17" width="21.33203125" bestFit="1" customWidth="1" collapsed="1"/>
    <col min="18" max="18" width="18.33203125" style="54" bestFit="1" customWidth="1"/>
    <col min="19" max="19" width="19.5546875" bestFit="1" customWidth="1"/>
    <col min="20" max="20" width="12" bestFit="1" customWidth="1"/>
    <col min="21" max="21" width="16" bestFit="1" customWidth="1"/>
    <col min="22" max="22" width="20.88671875" bestFit="1" customWidth="1"/>
    <col min="23" max="23" width="21.6640625" bestFit="1" customWidth="1"/>
    <col min="24" max="24" width="20.88671875" bestFit="1" customWidth="1"/>
    <col min="25" max="25" width="22.77734375" bestFit="1" customWidth="1"/>
    <col min="26" max="26" width="21.44140625" bestFit="1" customWidth="1"/>
    <col min="27" max="27" width="24" bestFit="1" customWidth="1"/>
    <col min="28" max="28" width="24.21875" bestFit="1" customWidth="1"/>
    <col min="29" max="29" width="15.44140625" bestFit="1" customWidth="1"/>
    <col min="30" max="30" width="21.44140625" bestFit="1" customWidth="1"/>
    <col min="31" max="31" width="18.33203125" bestFit="1" customWidth="1"/>
    <col min="32" max="32" width="20.33203125" bestFit="1" customWidth="1"/>
    <col min="33" max="33" width="18.5546875" bestFit="1" customWidth="1"/>
    <col min="34" max="34" width="23.77734375" bestFit="1" customWidth="1" collapsed="1"/>
    <col min="35" max="35" width="27.44140625" bestFit="1" customWidth="1" collapsed="1"/>
    <col min="36" max="36" width="13.5546875" bestFit="1" customWidth="1"/>
    <col min="37" max="37" width="13.33203125" bestFit="1" customWidth="1" collapsed="1"/>
    <col min="38" max="38" width="17.77734375" bestFit="1" customWidth="1"/>
    <col min="39" max="39" width="12.44140625" bestFit="1" customWidth="1"/>
    <col min="40" max="40" width="14.21875" bestFit="1" customWidth="1"/>
    <col min="41" max="43" width="12" bestFit="1" customWidth="1"/>
    <col min="44" max="44" width="15.6640625" bestFit="1" customWidth="1"/>
    <col min="45" max="45" width="20.21875" bestFit="1" customWidth="1"/>
    <col min="46" max="46" width="15.109375" bestFit="1" customWidth="1" collapsed="1"/>
    <col min="47" max="47" width="15.88671875" bestFit="1" customWidth="1" collapsed="1"/>
    <col min="48" max="48" width="15.21875" bestFit="1" customWidth="1"/>
    <col min="49" max="49" width="19.44140625" bestFit="1" customWidth="1"/>
    <col min="50" max="50" width="18.77734375" bestFit="1" customWidth="1"/>
    <col min="51" max="51" width="19.77734375" bestFit="1" customWidth="1" collapsed="1"/>
    <col min="52" max="52" width="13.5546875" bestFit="1" customWidth="1"/>
    <col min="53" max="53" width="12" bestFit="1" customWidth="1"/>
    <col min="54" max="54" width="12.88671875" bestFit="1" customWidth="1"/>
    <col min="55" max="55" width="14.44140625" bestFit="1" customWidth="1"/>
    <col min="56" max="56" width="28.77734375" bestFit="1" customWidth="1"/>
    <col min="57" max="57" width="16.21875" bestFit="1" customWidth="1" collapsed="1"/>
    <col min="58" max="58" width="18.21875" bestFit="1" customWidth="1" collapsed="1"/>
    <col min="59" max="59" width="21.5546875" bestFit="1" customWidth="1"/>
    <col min="60" max="60" width="26.21875" bestFit="1" customWidth="1"/>
    <col min="61" max="61" width="16.21875" bestFit="1" customWidth="1" collapsed="1"/>
    <col min="62" max="62" width="18.21875" bestFit="1" customWidth="1"/>
    <col min="63" max="63" width="21.5546875" bestFit="1" customWidth="1" collapsed="1"/>
    <col min="64" max="64" width="26.21875" bestFit="1" customWidth="1"/>
    <col min="65" max="65" width="17.33203125" bestFit="1" customWidth="1"/>
    <col min="66" max="66" width="19.21875" bestFit="1" customWidth="1"/>
    <col min="67" max="67" width="22.5546875" bestFit="1" customWidth="1"/>
    <col min="68" max="68" width="27.21875" bestFit="1" customWidth="1" collapsed="1"/>
    <col min="69" max="69" width="17.33203125" bestFit="1" customWidth="1"/>
    <col min="70" max="70" width="19.21875" bestFit="1" customWidth="1"/>
    <col min="71" max="71" width="17.33203125" bestFit="1" customWidth="1"/>
    <col min="72" max="72" width="19.21875" bestFit="1" customWidth="1"/>
    <col min="73" max="73" width="22.5546875" bestFit="1" customWidth="1"/>
    <col min="74" max="74" width="27.21875" bestFit="1" customWidth="1"/>
    <col min="75" max="75" width="17.33203125" bestFit="1" customWidth="1"/>
    <col min="76" max="76" width="19.21875" bestFit="1" customWidth="1" collapsed="1"/>
    <col min="77" max="77" width="27.21875" bestFit="1" customWidth="1"/>
    <col min="78" max="78" width="17.33203125" bestFit="1" customWidth="1"/>
    <col min="79" max="79" width="22.5546875" bestFit="1" customWidth="1"/>
    <col min="80" max="80" width="22.88671875" bestFit="1" customWidth="1"/>
    <col min="81" max="81" width="19.21875" bestFit="1" customWidth="1"/>
    <col min="82" max="82" width="27.21875" bestFit="1" customWidth="1" collapsed="1"/>
    <col min="83" max="83" width="17.33203125" bestFit="1" customWidth="1"/>
    <col min="84" max="84" width="19.21875" bestFit="1" customWidth="1"/>
    <col min="85" max="85" width="22.5546875" bestFit="1" customWidth="1" collapsed="1"/>
    <col min="86" max="86" width="27.21875" bestFit="1" customWidth="1" collapsed="1"/>
    <col min="87" max="87" width="17.33203125" bestFit="1" customWidth="1"/>
    <col min="88" max="88" width="19.21875" bestFit="1" customWidth="1"/>
    <col min="89" max="89" width="22.5546875" bestFit="1" customWidth="1"/>
    <col min="90" max="90" width="27.21875" bestFit="1" customWidth="1"/>
    <col min="91" max="93" width="80.88671875" bestFit="1" customWidth="1"/>
    <col min="94" max="94" width="12.6640625" bestFit="1" customWidth="1"/>
    <col min="95" max="95" width="12" bestFit="1" customWidth="1"/>
    <col min="96" max="96" width="12.6640625" bestFit="1" customWidth="1"/>
    <col min="97" max="97" width="13.88671875" bestFit="1" customWidth="1"/>
    <col min="98" max="98" width="12.6640625" bestFit="1" customWidth="1"/>
    <col min="99" max="99" width="13.77734375" bestFit="1" customWidth="1"/>
    <col min="100" max="100" width="12.6640625" bestFit="1" customWidth="1"/>
    <col min="101" max="101" width="14.6640625" bestFit="1" customWidth="1"/>
    <col min="102" max="102" width="14.21875" bestFit="1" customWidth="1"/>
    <col min="103" max="103" width="12" bestFit="1" customWidth="1"/>
    <col min="104" max="105" width="12.6640625" bestFit="1" customWidth="1"/>
    <col min="106" max="106" width="13.21875" bestFit="1" customWidth="1"/>
    <col min="107" max="107" width="12" bestFit="1" customWidth="1"/>
    <col min="108" max="108" width="13.109375" bestFit="1" customWidth="1"/>
    <col min="109" max="109" width="12" bestFit="1" customWidth="1"/>
    <col min="110" max="110" width="14" bestFit="1" customWidth="1"/>
    <col min="111" max="111" width="13.5546875" bestFit="1" customWidth="1"/>
    <col min="112" max="112" width="29.44140625" bestFit="1" customWidth="1"/>
    <col min="113" max="114" width="80.88671875" customWidth="1"/>
    <col min="115" max="16384" width="8.88671875" collapsed="1"/>
  </cols>
  <sheetData>
    <row r="1" spans="1:111" x14ac:dyDescent="0.25">
      <c r="A1" t="s">
        <v>13</v>
      </c>
      <c r="B1" t="s">
        <v>1</v>
      </c>
      <c r="C1" t="s">
        <v>14</v>
      </c>
      <c r="D1" t="s">
        <v>210</v>
      </c>
      <c r="E1" t="s">
        <v>33</v>
      </c>
      <c r="F1" t="s">
        <v>211</v>
      </c>
      <c r="G1" t="s">
        <v>212</v>
      </c>
      <c r="H1" t="s">
        <v>213</v>
      </c>
      <c r="I1" t="s">
        <v>61</v>
      </c>
      <c r="J1" t="s">
        <v>214</v>
      </c>
      <c r="K1" t="s">
        <v>215</v>
      </c>
      <c r="L1" t="s">
        <v>216</v>
      </c>
      <c r="M1" t="s">
        <v>312</v>
      </c>
      <c r="N1" t="s">
        <v>313</v>
      </c>
      <c r="O1" t="s">
        <v>271</v>
      </c>
      <c r="P1" t="s">
        <v>62</v>
      </c>
      <c r="Q1" t="s">
        <v>272</v>
      </c>
      <c r="R1" s="54" t="s">
        <v>273</v>
      </c>
      <c r="S1" t="s">
        <v>217</v>
      </c>
      <c r="T1" t="s">
        <v>219</v>
      </c>
      <c r="U1" t="s">
        <v>218</v>
      </c>
      <c r="V1" t="s">
        <v>274</v>
      </c>
      <c r="W1" t="s">
        <v>275</v>
      </c>
      <c r="X1" t="s">
        <v>276</v>
      </c>
      <c r="Y1" t="s">
        <v>22</v>
      </c>
      <c r="Z1" t="s">
        <v>60</v>
      </c>
      <c r="AA1" t="s">
        <v>50</v>
      </c>
      <c r="AB1" t="s">
        <v>53</v>
      </c>
      <c r="AC1" t="s">
        <v>287</v>
      </c>
      <c r="AD1" t="s">
        <v>288</v>
      </c>
      <c r="AE1" t="s">
        <v>47</v>
      </c>
      <c r="AF1" t="s">
        <v>199</v>
      </c>
      <c r="AG1" t="s">
        <v>19</v>
      </c>
      <c r="AH1" t="s">
        <v>220</v>
      </c>
      <c r="AI1" t="s">
        <v>221</v>
      </c>
      <c r="AJ1" t="s">
        <v>222</v>
      </c>
      <c r="AK1" t="s">
        <v>303</v>
      </c>
      <c r="AL1" t="s">
        <v>15</v>
      </c>
      <c r="AM1" t="s">
        <v>16</v>
      </c>
      <c r="AN1" t="s">
        <v>17</v>
      </c>
      <c r="AO1" t="s">
        <v>223</v>
      </c>
      <c r="AP1" t="s">
        <v>224</v>
      </c>
      <c r="AQ1" t="s">
        <v>306</v>
      </c>
      <c r="AR1" t="s">
        <v>225</v>
      </c>
      <c r="AS1" t="s">
        <v>25</v>
      </c>
      <c r="AT1" t="s">
        <v>226</v>
      </c>
      <c r="AU1" t="s">
        <v>141</v>
      </c>
      <c r="AV1" t="s">
        <v>227</v>
      </c>
      <c r="AW1" t="s">
        <v>228</v>
      </c>
      <c r="AX1" t="s">
        <v>229</v>
      </c>
      <c r="AY1" t="s">
        <v>230</v>
      </c>
      <c r="AZ1" t="s">
        <v>231</v>
      </c>
      <c r="BA1" t="s">
        <v>266</v>
      </c>
      <c r="BB1" t="s">
        <v>203</v>
      </c>
      <c r="BC1" t="s">
        <v>310</v>
      </c>
      <c r="BD1" t="s">
        <v>232</v>
      </c>
      <c r="BE1" t="s">
        <v>233</v>
      </c>
      <c r="BF1" t="s">
        <v>234</v>
      </c>
      <c r="BG1" t="s">
        <v>235</v>
      </c>
      <c r="BH1" t="s">
        <v>236</v>
      </c>
      <c r="BI1" t="s">
        <v>237</v>
      </c>
      <c r="BJ1" t="s">
        <v>238</v>
      </c>
      <c r="BK1" t="s">
        <v>239</v>
      </c>
      <c r="BL1" t="s">
        <v>240</v>
      </c>
      <c r="BM1" t="s">
        <v>241</v>
      </c>
      <c r="BN1" t="s">
        <v>242</v>
      </c>
      <c r="BO1" t="s">
        <v>243</v>
      </c>
      <c r="BP1" t="s">
        <v>244</v>
      </c>
      <c r="BQ1" t="s">
        <v>245</v>
      </c>
      <c r="BR1" t="s">
        <v>246</v>
      </c>
      <c r="BS1" t="s">
        <v>247</v>
      </c>
      <c r="BT1" t="s">
        <v>248</v>
      </c>
      <c r="BU1" t="s">
        <v>249</v>
      </c>
      <c r="BV1" t="s">
        <v>250</v>
      </c>
      <c r="BW1" t="s">
        <v>251</v>
      </c>
      <c r="BX1" t="s">
        <v>252</v>
      </c>
      <c r="BY1" t="s">
        <v>253</v>
      </c>
      <c r="BZ1" t="s">
        <v>254</v>
      </c>
      <c r="CA1" t="s">
        <v>304</v>
      </c>
      <c r="CB1" t="s">
        <v>305</v>
      </c>
      <c r="CC1" t="s">
        <v>255</v>
      </c>
      <c r="CD1" t="s">
        <v>256</v>
      </c>
      <c r="CE1" t="s">
        <v>257</v>
      </c>
      <c r="CF1" t="s">
        <v>258</v>
      </c>
      <c r="CG1" t="s">
        <v>259</v>
      </c>
      <c r="CH1" t="s">
        <v>260</v>
      </c>
      <c r="CI1" t="s">
        <v>261</v>
      </c>
      <c r="CJ1" t="s">
        <v>262</v>
      </c>
      <c r="CK1" t="s">
        <v>263</v>
      </c>
      <c r="CL1" t="s">
        <v>264</v>
      </c>
      <c r="CM1" t="s">
        <v>267</v>
      </c>
      <c r="CN1" t="s">
        <v>314</v>
      </c>
      <c r="CO1" t="s">
        <v>315</v>
      </c>
      <c r="CP1" t="s">
        <v>441</v>
      </c>
      <c r="CQ1" t="s">
        <v>442</v>
      </c>
      <c r="CR1" t="s">
        <v>443</v>
      </c>
      <c r="CS1" t="s">
        <v>444</v>
      </c>
      <c r="CT1" t="s">
        <v>445</v>
      </c>
      <c r="CU1" t="s">
        <v>446</v>
      </c>
      <c r="CV1" t="s">
        <v>447</v>
      </c>
      <c r="CW1" t="s">
        <v>448</v>
      </c>
      <c r="CX1" t="s">
        <v>449</v>
      </c>
      <c r="CY1" t="s">
        <v>450</v>
      </c>
      <c r="CZ1" t="s">
        <v>451</v>
      </c>
      <c r="DA1" t="s">
        <v>452</v>
      </c>
      <c r="DB1" t="s">
        <v>453</v>
      </c>
      <c r="DC1" t="s">
        <v>454</v>
      </c>
      <c r="DD1" t="s">
        <v>455</v>
      </c>
      <c r="DE1" t="s">
        <v>456</v>
      </c>
      <c r="DF1" t="s">
        <v>457</v>
      </c>
      <c r="DG1" t="s">
        <v>458</v>
      </c>
    </row>
    <row r="2" spans="1:111" x14ac:dyDescent="0.25">
      <c r="A2" s="34">
        <v>46104</v>
      </c>
      <c r="B2">
        <v>1</v>
      </c>
      <c r="C2" s="35">
        <v>46104.041666666664</v>
      </c>
      <c r="D2" t="s">
        <v>269</v>
      </c>
      <c r="E2">
        <v>127.1142486458333</v>
      </c>
      <c r="F2">
        <v>23.180085765782998</v>
      </c>
      <c r="G2">
        <v>1044.4844822925493</v>
      </c>
      <c r="H2">
        <v>127.1142486458333</v>
      </c>
      <c r="I2">
        <v>23.180085765782998</v>
      </c>
      <c r="J2">
        <v>119.76505038181918</v>
      </c>
      <c r="K2">
        <v>8216.8953789177485</v>
      </c>
      <c r="L2">
        <v>8339.7795673569071</v>
      </c>
      <c r="M2">
        <v>9940.6034685407249</v>
      </c>
      <c r="N2">
        <v>10089.265820134155</v>
      </c>
      <c r="O2">
        <v>556.58200452751566</v>
      </c>
      <c r="P2">
        <v>36.326714138414602</v>
      </c>
      <c r="Q2">
        <v>420.76974678104784</v>
      </c>
      <c r="R2" s="126">
        <v>0.33819523252036099</v>
      </c>
      <c r="S2" s="118">
        <v>1.0613634632188971</v>
      </c>
      <c r="T2">
        <v>3.8436721167803261</v>
      </c>
      <c r="U2">
        <v>0.98526529538980334</v>
      </c>
      <c r="V2">
        <v>1.0385445558898927</v>
      </c>
      <c r="W2">
        <v>549.40065302407152</v>
      </c>
      <c r="X2">
        <v>436.98812980262596</v>
      </c>
      <c r="Y2">
        <v>18.861866106615594</v>
      </c>
      <c r="Z2">
        <v>549.40065302407152</v>
      </c>
      <c r="AA2">
        <v>358.43890808328416</v>
      </c>
      <c r="AB2">
        <v>11.506925532585516</v>
      </c>
      <c r="AC2">
        <v>11.423303028100589</v>
      </c>
      <c r="AD2">
        <v>0.86461180335573595</v>
      </c>
      <c r="AE2">
        <v>85.848814702690945</v>
      </c>
      <c r="AF2">
        <v>18.248590600511054</v>
      </c>
      <c r="AG2">
        <v>19.379007713670735</v>
      </c>
      <c r="AH2">
        <v>0.56217129319317771</v>
      </c>
      <c r="AI2">
        <v>2.9131917676960697</v>
      </c>
      <c r="AJ2" t="s">
        <v>200</v>
      </c>
      <c r="AL2">
        <v>19.649310783016418</v>
      </c>
      <c r="AM2">
        <v>87.757826707102438</v>
      </c>
      <c r="AN2">
        <v>1007.3203437113784</v>
      </c>
      <c r="AO2">
        <v>18.861866106615594</v>
      </c>
      <c r="AP2">
        <v>87.757826707102438</v>
      </c>
      <c r="AQ2">
        <v>92.167677969088231</v>
      </c>
      <c r="AR2">
        <v>1.00040811162037</v>
      </c>
      <c r="AS2">
        <v>3001.22433486111</v>
      </c>
      <c r="AT2">
        <v>36.326714138414602</v>
      </c>
      <c r="AU2">
        <v>2.2226000583442707</v>
      </c>
      <c r="AV2">
        <v>76.2</v>
      </c>
      <c r="AW2">
        <v>0</v>
      </c>
      <c r="AX2">
        <v>266.7</v>
      </c>
      <c r="AY2">
        <v>1007.3203437113784</v>
      </c>
      <c r="AZ2">
        <v>13205.669389514984</v>
      </c>
      <c r="BA2">
        <v>3.8436721167803261</v>
      </c>
      <c r="BB2">
        <v>5677.4159026289699</v>
      </c>
      <c r="BC2">
        <v>474.89859999999999</v>
      </c>
      <c r="BD2">
        <v>362.24052653146589</v>
      </c>
      <c r="BE2">
        <v>1.0549308301705778</v>
      </c>
      <c r="BF2">
        <v>0.98811595526355722</v>
      </c>
      <c r="BG2">
        <v>1.0381549704110933</v>
      </c>
      <c r="BH2">
        <v>-6.0693668593367454</v>
      </c>
      <c r="BI2">
        <v>0.99975746813788346</v>
      </c>
      <c r="BJ2">
        <v>1.0018991481663693</v>
      </c>
      <c r="BK2">
        <v>0.99678041385978966</v>
      </c>
      <c r="BL2">
        <v>0.37288750643836499</v>
      </c>
      <c r="BM2">
        <v>1.0004877381945709</v>
      </c>
      <c r="BN2">
        <v>0.9999052566656913</v>
      </c>
      <c r="BO2">
        <v>1.0005551546804687</v>
      </c>
      <c r="BP2">
        <v>-0.10337092859668373</v>
      </c>
      <c r="BQ2">
        <v>0.99987883755270379</v>
      </c>
      <c r="BR2">
        <v>0.99907901450389458</v>
      </c>
      <c r="BS2">
        <v>1.0067223981274169</v>
      </c>
      <c r="BT2">
        <v>0.99781721928834455</v>
      </c>
      <c r="BU2">
        <v>1.0049816454119869</v>
      </c>
      <c r="BV2">
        <v>-0.79506376403975576</v>
      </c>
      <c r="BW2">
        <v>1</v>
      </c>
      <c r="BX2">
        <v>1</v>
      </c>
      <c r="BY2">
        <v>0</v>
      </c>
      <c r="BZ2">
        <v>1.0032312000000001</v>
      </c>
      <c r="CA2">
        <v>7788.1131273596839</v>
      </c>
      <c r="CB2">
        <v>7904.5848501935216</v>
      </c>
      <c r="CC2">
        <v>0.99678560000000005</v>
      </c>
      <c r="CD2">
        <v>-0.83440000000000003</v>
      </c>
      <c r="CE2">
        <v>1.0009499064696212</v>
      </c>
      <c r="CF2">
        <v>0.99999648623041781</v>
      </c>
      <c r="CG2">
        <v>1.0013979480586161</v>
      </c>
      <c r="CH2">
        <v>-0.2097220681073387</v>
      </c>
      <c r="CI2">
        <v>0.99509201211669052</v>
      </c>
      <c r="CJ2">
        <v>1.0016392961487157</v>
      </c>
      <c r="CK2">
        <v>0.99668423571248432</v>
      </c>
      <c r="CL2">
        <v>0.45768461019801698</v>
      </c>
      <c r="CM2" t="s">
        <v>342</v>
      </c>
      <c r="CN2" t="s">
        <v>343</v>
      </c>
      <c r="CO2" t="s">
        <v>344</v>
      </c>
      <c r="CP2">
        <v>-6.618909036430213</v>
      </c>
      <c r="CQ2">
        <v>3.0836734316216006E-2</v>
      </c>
      <c r="CR2">
        <v>-6.1968249856459434E-2</v>
      </c>
      <c r="CS2">
        <v>1.5403339758499284E-2</v>
      </c>
      <c r="CT2">
        <v>-0.84880657135891324</v>
      </c>
      <c r="CU2">
        <v>0</v>
      </c>
      <c r="CV2">
        <v>-0.40940867890116328</v>
      </c>
      <c r="CW2">
        <v>-0.12063205799738581</v>
      </c>
      <c r="CX2">
        <v>0.62695226627604161</v>
      </c>
      <c r="CY2">
        <v>119.55537778546162</v>
      </c>
      <c r="CZ2">
        <v>-18.8428934034274</v>
      </c>
      <c r="DA2">
        <v>0.94189515593883721</v>
      </c>
      <c r="DB2">
        <v>9.1635911516031303</v>
      </c>
      <c r="DC2">
        <v>21.745623440754695</v>
      </c>
      <c r="DD2">
        <v>0</v>
      </c>
      <c r="DE2">
        <v>32.056116971669951</v>
      </c>
      <c r="DF2">
        <v>3.4929112828672816E-2</v>
      </c>
      <c r="DG2">
        <v>-16.268923398418533</v>
      </c>
    </row>
    <row r="3" spans="1:111" x14ac:dyDescent="0.25">
      <c r="A3" s="34">
        <v>46104</v>
      </c>
      <c r="B3">
        <v>2</v>
      </c>
      <c r="C3" s="35">
        <v>46104.083333333336</v>
      </c>
      <c r="D3" t="s">
        <v>269</v>
      </c>
      <c r="E3">
        <v>127.49096088975692</v>
      </c>
      <c r="F3">
        <v>23.565049779393938</v>
      </c>
      <c r="G3">
        <v>1061.8307916427598</v>
      </c>
      <c r="H3">
        <v>127.49096088975692</v>
      </c>
      <c r="I3">
        <v>23.565049779393938</v>
      </c>
      <c r="J3">
        <v>120.0573038560003</v>
      </c>
      <c r="K3">
        <v>8328.6751016092694</v>
      </c>
      <c r="L3">
        <v>8455.43400858938</v>
      </c>
      <c r="M3">
        <v>10075.831903108699</v>
      </c>
      <c r="N3">
        <v>10229.181796503701</v>
      </c>
      <c r="O3">
        <v>556.33930468727806</v>
      </c>
      <c r="P3">
        <v>36.4746889878326</v>
      </c>
      <c r="Q3">
        <v>421.01968412340892</v>
      </c>
      <c r="R3" s="126">
        <v>0.33356935753808398</v>
      </c>
      <c r="S3" s="118">
        <v>1.0619175743166174</v>
      </c>
      <c r="T3">
        <v>3.8436721167803261</v>
      </c>
      <c r="U3">
        <v>0.98500858656677548</v>
      </c>
      <c r="V3">
        <v>1.0385440189420383</v>
      </c>
      <c r="W3">
        <v>549.15864791556453</v>
      </c>
      <c r="X3">
        <v>437.24747480323259</v>
      </c>
      <c r="Y3">
        <v>18.66243783261935</v>
      </c>
      <c r="Z3">
        <v>549.15864791556453</v>
      </c>
      <c r="AA3">
        <v>358.27460696912976</v>
      </c>
      <c r="AB3">
        <v>11.523861998118562</v>
      </c>
      <c r="AC3">
        <v>11.447555285080648</v>
      </c>
      <c r="AD3">
        <v>0.86497636743575201</v>
      </c>
      <c r="AE3">
        <v>85.849229275173599</v>
      </c>
      <c r="AF3">
        <v>18.013526850741286</v>
      </c>
      <c r="AG3">
        <v>19.106991727727788</v>
      </c>
      <c r="AH3">
        <v>0.5592345034816526</v>
      </c>
      <c r="AI3">
        <v>2.1736731439018464</v>
      </c>
      <c r="AJ3" t="s">
        <v>200</v>
      </c>
      <c r="AL3">
        <v>19.485763191843027</v>
      </c>
      <c r="AM3">
        <v>87.099270438209118</v>
      </c>
      <c r="AN3">
        <v>1006.6657649723137</v>
      </c>
      <c r="AO3">
        <v>18.66243783261935</v>
      </c>
      <c r="AP3">
        <v>87.099270438209118</v>
      </c>
      <c r="AQ3">
        <v>91.687275270831734</v>
      </c>
      <c r="AR3">
        <v>1.0001915675462962</v>
      </c>
      <c r="AS3">
        <v>3000.5747026388885</v>
      </c>
      <c r="AT3">
        <v>36.4746889878326</v>
      </c>
      <c r="AU3">
        <v>2.381144652863409</v>
      </c>
      <c r="AV3">
        <v>76.2</v>
      </c>
      <c r="AW3">
        <v>0</v>
      </c>
      <c r="AX3">
        <v>266.7</v>
      </c>
      <c r="AY3">
        <v>1006.6657649723137</v>
      </c>
      <c r="AZ3">
        <v>13205.669389514984</v>
      </c>
      <c r="BA3">
        <v>3.8436721167803261</v>
      </c>
      <c r="BB3">
        <v>5677.4159026289699</v>
      </c>
      <c r="BC3">
        <v>474.89859999999999</v>
      </c>
      <c r="BD3">
        <v>362.82250009030372</v>
      </c>
      <c r="BE3">
        <v>1.0562224975563219</v>
      </c>
      <c r="BF3">
        <v>0.98786543888233358</v>
      </c>
      <c r="BG3">
        <v>1.0390487045278911</v>
      </c>
      <c r="BH3">
        <v>-6.2112440727816036</v>
      </c>
      <c r="BI3">
        <v>0.99976640970984409</v>
      </c>
      <c r="BJ3">
        <v>1.001848879220246</v>
      </c>
      <c r="BK3">
        <v>0.99686259919118692</v>
      </c>
      <c r="BL3">
        <v>0.36387142502324676</v>
      </c>
      <c r="BM3">
        <v>1.0002279532167322</v>
      </c>
      <c r="BN3">
        <v>0.99995585279134913</v>
      </c>
      <c r="BO3">
        <v>1.0002599389387834</v>
      </c>
      <c r="BP3">
        <v>-4.8446650192288609E-2</v>
      </c>
      <c r="BQ3">
        <v>0.99987714641156755</v>
      </c>
      <c r="BR3">
        <v>0.99906485119687882</v>
      </c>
      <c r="BS3">
        <v>1.0067137101630053</v>
      </c>
      <c r="BT3">
        <v>0.99782235308549694</v>
      </c>
      <c r="BU3">
        <v>1.0049814479582502</v>
      </c>
      <c r="BV3">
        <v>-0.79565612524964557</v>
      </c>
      <c r="BW3">
        <v>1</v>
      </c>
      <c r="BX3">
        <v>1</v>
      </c>
      <c r="BY3">
        <v>0</v>
      </c>
      <c r="BZ3">
        <v>1.0032312000000001</v>
      </c>
      <c r="CA3">
        <v>7894.0598487819934</v>
      </c>
      <c r="CB3">
        <v>8014.2040957191603</v>
      </c>
      <c r="CC3">
        <v>0.99678560000000005</v>
      </c>
      <c r="CD3">
        <v>-0.83440000000000003</v>
      </c>
      <c r="CE3">
        <v>1.000508932712975</v>
      </c>
      <c r="CF3">
        <v>0.9999980725645341</v>
      </c>
      <c r="CG3">
        <v>1.0007490631425064</v>
      </c>
      <c r="CH3">
        <v>-0.11246595871120214</v>
      </c>
      <c r="CI3">
        <v>0.99509201211669052</v>
      </c>
      <c r="CJ3">
        <v>1.0016392961487157</v>
      </c>
      <c r="CK3">
        <v>0.99668423571248432</v>
      </c>
      <c r="CL3">
        <v>0.45768461019801698</v>
      </c>
      <c r="CM3" t="s">
        <v>345</v>
      </c>
      <c r="CN3" t="s">
        <v>346</v>
      </c>
      <c r="CO3" t="s">
        <v>347</v>
      </c>
      <c r="CP3">
        <v>-6.786316570288049</v>
      </c>
      <c r="CQ3">
        <v>2.9787608642651509E-2</v>
      </c>
      <c r="CR3">
        <v>-2.9055351378290586E-2</v>
      </c>
      <c r="CS3">
        <v>1.5664646496033025E-2</v>
      </c>
      <c r="CT3">
        <v>-0.85022916761337242</v>
      </c>
      <c r="CU3">
        <v>0</v>
      </c>
      <c r="CV3">
        <v>-0.41062199104951552</v>
      </c>
      <c r="CW3">
        <v>-6.4851315649397723E-2</v>
      </c>
      <c r="CX3">
        <v>0.62881028453581911</v>
      </c>
      <c r="CY3">
        <v>123.7676643267705</v>
      </c>
      <c r="CZ3">
        <v>-18.59461703131209</v>
      </c>
      <c r="DA3">
        <v>0.44483949178004961</v>
      </c>
      <c r="DB3">
        <v>9.4312217403655776</v>
      </c>
      <c r="DC3">
        <v>21.989489599033945</v>
      </c>
      <c r="DD3">
        <v>0</v>
      </c>
      <c r="DE3">
        <v>32.492196987347633</v>
      </c>
      <c r="DF3">
        <v>1.94205531904812E-2</v>
      </c>
      <c r="DG3">
        <v>-16.490240046873218</v>
      </c>
    </row>
    <row r="4" spans="1:111" x14ac:dyDescent="0.25">
      <c r="A4" s="34">
        <v>46104</v>
      </c>
      <c r="B4">
        <v>3</v>
      </c>
      <c r="C4" s="35">
        <v>46104.125</v>
      </c>
      <c r="D4" t="s">
        <v>269</v>
      </c>
      <c r="E4">
        <v>126.95202023871528</v>
      </c>
      <c r="F4">
        <v>23.325850702539011</v>
      </c>
      <c r="G4">
        <v>1051.0525863126279</v>
      </c>
      <c r="H4">
        <v>126.95202023871528</v>
      </c>
      <c r="I4">
        <v>23.325850702539011</v>
      </c>
      <c r="J4">
        <v>119.8491773615031</v>
      </c>
      <c r="K4">
        <v>8279.1324181865912</v>
      </c>
      <c r="L4">
        <v>8402.6243810608648</v>
      </c>
      <c r="M4">
        <v>10015.896349841725</v>
      </c>
      <c r="N4">
        <v>10165.293972407851</v>
      </c>
      <c r="O4">
        <v>556.44393489447395</v>
      </c>
      <c r="P4">
        <v>36.919447288795055</v>
      </c>
      <c r="Q4">
        <v>421.95933678007805</v>
      </c>
      <c r="R4" s="126">
        <v>0.33566580654349398</v>
      </c>
      <c r="S4" s="118">
        <v>1.0592648446454309</v>
      </c>
      <c r="T4">
        <v>3.8436721167803261</v>
      </c>
      <c r="U4">
        <v>0.98530316752553904</v>
      </c>
      <c r="V4">
        <v>1.0351609295525153</v>
      </c>
      <c r="W4">
        <v>549.85245563098465</v>
      </c>
      <c r="X4">
        <v>436.79581929462842</v>
      </c>
      <c r="Y4">
        <v>18.534800209621849</v>
      </c>
      <c r="Z4">
        <v>549.85245563098465</v>
      </c>
      <c r="AA4">
        <v>357.36002200453009</v>
      </c>
      <c r="AB4">
        <v>11.473555375817881</v>
      </c>
      <c r="AC4">
        <v>11.408438242932149</v>
      </c>
      <c r="AD4">
        <v>0.86491760357792302</v>
      </c>
      <c r="AE4">
        <v>85.868085461154521</v>
      </c>
      <c r="AF4">
        <v>18.014029798908094</v>
      </c>
      <c r="AG4">
        <v>19.039889998931351</v>
      </c>
      <c r="AH4">
        <v>0.71941996668731478</v>
      </c>
      <c r="AI4">
        <v>1.6084032067317684</v>
      </c>
      <c r="AJ4" t="s">
        <v>200</v>
      </c>
      <c r="AL4">
        <v>19.870079228246482</v>
      </c>
      <c r="AM4">
        <v>84.008573936337356</v>
      </c>
      <c r="AN4">
        <v>1005.7078043023175</v>
      </c>
      <c r="AO4">
        <v>18.534800209621849</v>
      </c>
      <c r="AP4">
        <v>84.008573936337356</v>
      </c>
      <c r="AQ4">
        <v>91.294614797001245</v>
      </c>
      <c r="AR4">
        <v>0.9981101462268519</v>
      </c>
      <c r="AS4">
        <v>2994.3304386805557</v>
      </c>
      <c r="AT4">
        <v>36.919447288795055</v>
      </c>
      <c r="AU4">
        <v>2.5176168811888155</v>
      </c>
      <c r="AV4">
        <v>76.2</v>
      </c>
      <c r="AW4">
        <v>0</v>
      </c>
      <c r="AX4">
        <v>266.7</v>
      </c>
      <c r="AY4">
        <v>1005.7078043023175</v>
      </c>
      <c r="AZ4">
        <v>13205.669389514984</v>
      </c>
      <c r="BA4">
        <v>3.8436721167803261</v>
      </c>
      <c r="BB4">
        <v>5677.4159026289699</v>
      </c>
      <c r="BC4">
        <v>474.89859999999999</v>
      </c>
      <c r="BD4">
        <v>363.19497346235352</v>
      </c>
      <c r="BE4">
        <v>1.0570491875311994</v>
      </c>
      <c r="BF4">
        <v>0.98770510396702504</v>
      </c>
      <c r="BG4">
        <v>1.0396207101716948</v>
      </c>
      <c r="BH4">
        <v>-6.3020479990190239</v>
      </c>
      <c r="BI4">
        <v>0.99977248367132665</v>
      </c>
      <c r="BJ4">
        <v>1.0018134238866667</v>
      </c>
      <c r="BK4">
        <v>0.99692076592543788</v>
      </c>
      <c r="BL4">
        <v>0.35745420136599892</v>
      </c>
      <c r="BM4">
        <v>0.99759955278253121</v>
      </c>
      <c r="BN4">
        <v>1.0004891640655853</v>
      </c>
      <c r="BO4">
        <v>0.9973414004059209</v>
      </c>
      <c r="BP4">
        <v>0.49557459731396003</v>
      </c>
      <c r="BQ4">
        <v>0.99987206345955659</v>
      </c>
      <c r="BR4">
        <v>0.99902228147378669</v>
      </c>
      <c r="BS4">
        <v>1.0067081497121024</v>
      </c>
      <c r="BT4">
        <v>0.997825638806485</v>
      </c>
      <c r="BU4">
        <v>1.0049813215843659</v>
      </c>
      <c r="BV4">
        <v>-0.79603524690211336</v>
      </c>
      <c r="BW4">
        <v>1</v>
      </c>
      <c r="BX4">
        <v>1</v>
      </c>
      <c r="BY4">
        <v>0</v>
      </c>
      <c r="BZ4">
        <v>1.0032312000000001</v>
      </c>
      <c r="CA4">
        <v>7847.1024512083604</v>
      </c>
      <c r="CB4">
        <v>7964.1502329839659</v>
      </c>
      <c r="CC4">
        <v>0.99678560000000005</v>
      </c>
      <c r="CD4">
        <v>-0.83440000000000003</v>
      </c>
      <c r="CE4">
        <v>0.99986104391512209</v>
      </c>
      <c r="CF4">
        <v>1.0000009252613187</v>
      </c>
      <c r="CG4">
        <v>0.99979941974654696</v>
      </c>
      <c r="CH4">
        <v>3.0290573553813677E-2</v>
      </c>
      <c r="CI4">
        <v>0.99509201211669052</v>
      </c>
      <c r="CJ4">
        <v>1.0016392961487157</v>
      </c>
      <c r="CK4">
        <v>0.99668423571248432</v>
      </c>
      <c r="CL4">
        <v>0.45768461019801698</v>
      </c>
      <c r="CM4" t="s">
        <v>348</v>
      </c>
      <c r="CN4" t="s">
        <v>349</v>
      </c>
      <c r="CO4" t="s">
        <v>350</v>
      </c>
      <c r="CP4">
        <v>-6.8516297022831916</v>
      </c>
      <c r="CQ4">
        <v>2.889023056155644E-2</v>
      </c>
      <c r="CR4">
        <v>0.30547490010804118</v>
      </c>
      <c r="CS4">
        <v>1.6243880457499294E-2</v>
      </c>
      <c r="CT4">
        <v>-0.84593847607044459</v>
      </c>
      <c r="CU4">
        <v>0</v>
      </c>
      <c r="CV4">
        <v>-0.40888617478737599</v>
      </c>
      <c r="CW4">
        <v>1.7643207330713982E-2</v>
      </c>
      <c r="CX4">
        <v>0.62615212413162813</v>
      </c>
      <c r="CY4">
        <v>124.67729872383831</v>
      </c>
      <c r="CZ4">
        <v>-18.130187971243995</v>
      </c>
      <c r="DA4">
        <v>-4.8970211322027897</v>
      </c>
      <c r="DB4">
        <v>9.802311319250002</v>
      </c>
      <c r="DC4">
        <v>21.825633151112541</v>
      </c>
      <c r="DD4">
        <v>0</v>
      </c>
      <c r="DE4">
        <v>32.298918871751503</v>
      </c>
      <c r="DF4">
        <v>-9.2673128898169161E-3</v>
      </c>
      <c r="DG4">
        <v>-16.392148725956119</v>
      </c>
    </row>
    <row r="5" spans="1:111" x14ac:dyDescent="0.25">
      <c r="A5" s="34">
        <v>46104</v>
      </c>
      <c r="B5">
        <v>4</v>
      </c>
      <c r="C5" s="35">
        <v>46104.166666666664</v>
      </c>
      <c r="D5" t="s">
        <v>269</v>
      </c>
      <c r="E5">
        <v>127.14836923611108</v>
      </c>
      <c r="F5">
        <v>23.142124516484472</v>
      </c>
      <c r="G5">
        <v>1042.7739650743913</v>
      </c>
      <c r="H5">
        <v>127.14836923611108</v>
      </c>
      <c r="I5">
        <v>23.142124516484472</v>
      </c>
      <c r="J5">
        <v>119.80098215268016</v>
      </c>
      <c r="K5">
        <v>8201.2374310360847</v>
      </c>
      <c r="L5">
        <v>8327.149168236554</v>
      </c>
      <c r="M5">
        <v>9921.6608577558745</v>
      </c>
      <c r="N5">
        <v>10073.98586541708</v>
      </c>
      <c r="O5">
        <v>556.57264797784717</v>
      </c>
      <c r="P5">
        <v>37.152763048919049</v>
      </c>
      <c r="Q5">
        <v>420.62298612486779</v>
      </c>
      <c r="R5" s="126">
        <v>0.33870819808408897</v>
      </c>
      <c r="S5" s="118">
        <v>1.061329940301049</v>
      </c>
      <c r="T5">
        <v>3.8436721167803261</v>
      </c>
      <c r="U5">
        <v>0.98487937051965491</v>
      </c>
      <c r="V5">
        <v>1.0375113108379037</v>
      </c>
      <c r="W5">
        <v>549.54252028528856</v>
      </c>
      <c r="X5">
        <v>436.40110570296497</v>
      </c>
      <c r="Y5">
        <v>18.608347420516544</v>
      </c>
      <c r="Z5">
        <v>549.54252028528856</v>
      </c>
      <c r="AA5">
        <v>358.01829716122097</v>
      </c>
      <c r="AB5">
        <v>11.495099132310813</v>
      </c>
      <c r="AC5">
        <v>11.432366944924514</v>
      </c>
      <c r="AD5">
        <v>0.86467712592472101</v>
      </c>
      <c r="AE5">
        <v>85.853916231553811</v>
      </c>
      <c r="AF5">
        <v>17.916704712600517</v>
      </c>
      <c r="AG5">
        <v>19.003691567681102</v>
      </c>
      <c r="AH5">
        <v>0.52634345978785524</v>
      </c>
      <c r="AI5">
        <v>2.0592420681283437</v>
      </c>
      <c r="AJ5" t="s">
        <v>200</v>
      </c>
      <c r="AL5">
        <v>19.376924617103999</v>
      </c>
      <c r="AM5">
        <v>87.171115826780607</v>
      </c>
      <c r="AN5">
        <v>1005.4872440404083</v>
      </c>
      <c r="AO5">
        <v>18.608347420516544</v>
      </c>
      <c r="AP5">
        <v>87.171115826780607</v>
      </c>
      <c r="AQ5">
        <v>91.452982483460744</v>
      </c>
      <c r="AR5">
        <v>1.0001256506481486</v>
      </c>
      <c r="AS5">
        <v>3000.3769519444459</v>
      </c>
      <c r="AT5">
        <v>37.152763048919049</v>
      </c>
      <c r="AU5">
        <v>2.3720136958769964</v>
      </c>
      <c r="AV5">
        <v>76.2</v>
      </c>
      <c r="AW5">
        <v>0</v>
      </c>
      <c r="AX5">
        <v>266.7</v>
      </c>
      <c r="AY5">
        <v>1005.4872440404083</v>
      </c>
      <c r="AZ5">
        <v>13205.669389514984</v>
      </c>
      <c r="BA5">
        <v>3.8436721167803261</v>
      </c>
      <c r="BB5">
        <v>5677.4159026289699</v>
      </c>
      <c r="BC5">
        <v>474.89859999999999</v>
      </c>
      <c r="BD5">
        <v>362.98034726512839</v>
      </c>
      <c r="BE5">
        <v>1.0565728331421174</v>
      </c>
      <c r="BF5">
        <v>0.98779749197577238</v>
      </c>
      <c r="BG5">
        <v>1.0392911097080555</v>
      </c>
      <c r="BH5">
        <v>-6.2497250604041241</v>
      </c>
      <c r="BI5">
        <v>0.99976934073012347</v>
      </c>
      <c r="BJ5">
        <v>1.0018309056677193</v>
      </c>
      <c r="BK5">
        <v>0.9968922154173343</v>
      </c>
      <c r="BL5">
        <v>0.36057867612296512</v>
      </c>
      <c r="BM5">
        <v>1.0001493399881272</v>
      </c>
      <c r="BN5">
        <v>0.9999711013725755</v>
      </c>
      <c r="BO5">
        <v>1.0001703802355901</v>
      </c>
      <c r="BP5">
        <v>-3.1763077415782867E-2</v>
      </c>
      <c r="BQ5">
        <v>0.99986939699372657</v>
      </c>
      <c r="BR5">
        <v>0.99899994982246054</v>
      </c>
      <c r="BS5">
        <v>1.0067113537490127</v>
      </c>
      <c r="BT5">
        <v>0.99782374551194697</v>
      </c>
      <c r="BU5">
        <v>1.0049813944033867</v>
      </c>
      <c r="BV5">
        <v>-0.79581678984004989</v>
      </c>
      <c r="BW5">
        <v>1</v>
      </c>
      <c r="BX5">
        <v>1</v>
      </c>
      <c r="BY5">
        <v>0</v>
      </c>
      <c r="BZ5">
        <v>1.0032312000000001</v>
      </c>
      <c r="CA5">
        <v>7773.2722581723292</v>
      </c>
      <c r="CB5">
        <v>7892.6135431904659</v>
      </c>
      <c r="CC5">
        <v>0.99678560000000005</v>
      </c>
      <c r="CD5">
        <v>-0.83440000000000003</v>
      </c>
      <c r="CE5">
        <v>0.9997094471569381</v>
      </c>
      <c r="CF5">
        <v>1.0000019253798165</v>
      </c>
      <c r="CG5">
        <v>0.99958061094233375</v>
      </c>
      <c r="CH5">
        <v>6.3313948780384766E-2</v>
      </c>
      <c r="CI5">
        <v>0.99509201211669052</v>
      </c>
      <c r="CJ5">
        <v>1.0016392961487157</v>
      </c>
      <c r="CK5">
        <v>0.99668423571248432</v>
      </c>
      <c r="CL5">
        <v>0.45768461019801698</v>
      </c>
      <c r="CM5" t="s">
        <v>351</v>
      </c>
      <c r="CN5" t="s">
        <v>352</v>
      </c>
      <c r="CO5" t="s">
        <v>353</v>
      </c>
      <c r="CP5">
        <v>-6.8079958630919206</v>
      </c>
      <c r="CQ5">
        <v>2.9334716338243041E-2</v>
      </c>
      <c r="CR5">
        <v>-1.8985500657667007E-2</v>
      </c>
      <c r="CS5">
        <v>1.6608128336503315E-2</v>
      </c>
      <c r="CT5">
        <v>-0.84764881351120969</v>
      </c>
      <c r="CU5">
        <v>0</v>
      </c>
      <c r="CV5">
        <v>-0.4095185742585899</v>
      </c>
      <c r="CW5">
        <v>3.6954057278626905E-2</v>
      </c>
      <c r="CX5">
        <v>0.62712055568206204</v>
      </c>
      <c r="CY5">
        <v>122.56474349643297</v>
      </c>
      <c r="CZ5">
        <v>-18.132426335506715</v>
      </c>
      <c r="DA5">
        <v>0.28673066668246561</v>
      </c>
      <c r="DB5">
        <v>9.9320912919450777</v>
      </c>
      <c r="DC5">
        <v>21.63915127070122</v>
      </c>
      <c r="DD5">
        <v>0</v>
      </c>
      <c r="DE5">
        <v>31.995031490392112</v>
      </c>
      <c r="DF5">
        <v>-1.9102928781440584E-2</v>
      </c>
      <c r="DG5">
        <v>-16.237921670525445</v>
      </c>
    </row>
    <row r="6" spans="1:111" x14ac:dyDescent="0.25">
      <c r="A6" s="34">
        <v>46104</v>
      </c>
      <c r="B6">
        <v>5</v>
      </c>
      <c r="C6" s="35">
        <v>46104.208333333336</v>
      </c>
      <c r="D6" t="s">
        <v>269</v>
      </c>
      <c r="E6">
        <v>127.50278430989586</v>
      </c>
      <c r="F6">
        <v>23.376872988357011</v>
      </c>
      <c r="G6">
        <v>1053.3516280990336</v>
      </c>
      <c r="H6">
        <v>127.50278430989586</v>
      </c>
      <c r="I6">
        <v>23.376872988357011</v>
      </c>
      <c r="J6">
        <v>119.94588154005966</v>
      </c>
      <c r="K6">
        <v>8261.4009866550023</v>
      </c>
      <c r="L6">
        <v>8390.5219059196534</v>
      </c>
      <c r="M6">
        <v>9994.4452881381312</v>
      </c>
      <c r="N6">
        <v>10150.652687491975</v>
      </c>
      <c r="O6">
        <v>556.51612934458228</v>
      </c>
      <c r="P6">
        <v>36.989512145910268</v>
      </c>
      <c r="Q6">
        <v>419.71168744216607</v>
      </c>
      <c r="R6" s="126">
        <v>0.33614997035654398</v>
      </c>
      <c r="S6" s="118">
        <v>1.0630026031140747</v>
      </c>
      <c r="T6">
        <v>3.8436721167803261</v>
      </c>
      <c r="U6">
        <v>0.98461109800886715</v>
      </c>
      <c r="V6">
        <v>1.0396984631325843</v>
      </c>
      <c r="W6">
        <v>549.0734825204637</v>
      </c>
      <c r="X6">
        <v>436.37359639240361</v>
      </c>
      <c r="Y6">
        <v>18.748982362536324</v>
      </c>
      <c r="Z6">
        <v>549.0734825204637</v>
      </c>
      <c r="AA6">
        <v>358.86660175453193</v>
      </c>
      <c r="AB6">
        <v>11.530565246139631</v>
      </c>
      <c r="AC6">
        <v>11.468861297617396</v>
      </c>
      <c r="AD6">
        <v>0.86486221505518501</v>
      </c>
      <c r="AE6">
        <v>85.829252311197905</v>
      </c>
      <c r="AF6">
        <v>18.089430821969806</v>
      </c>
      <c r="AG6">
        <v>19.184712286837897</v>
      </c>
      <c r="AH6">
        <v>0.56554873891455038</v>
      </c>
      <c r="AI6">
        <v>2.0304743165776671</v>
      </c>
      <c r="AJ6" t="s">
        <v>200</v>
      </c>
      <c r="AL6">
        <v>19.607556327967117</v>
      </c>
      <c r="AM6">
        <v>86.754640903805608</v>
      </c>
      <c r="AN6">
        <v>1005.3801285865278</v>
      </c>
      <c r="AO6">
        <v>18.748982362536324</v>
      </c>
      <c r="AP6">
        <v>86.754640903805608</v>
      </c>
      <c r="AQ6">
        <v>91.521446348794683</v>
      </c>
      <c r="AR6">
        <v>1.0022317709027775</v>
      </c>
      <c r="AS6">
        <v>3006.6953127083325</v>
      </c>
      <c r="AT6">
        <v>36.989512145910268</v>
      </c>
      <c r="AU6">
        <v>2.4728608923310049</v>
      </c>
      <c r="AV6">
        <v>76.2</v>
      </c>
      <c r="AW6">
        <v>0</v>
      </c>
      <c r="AX6">
        <v>266.7</v>
      </c>
      <c r="AY6">
        <v>1005.3801285865278</v>
      </c>
      <c r="AZ6">
        <v>13205.669389514984</v>
      </c>
      <c r="BA6">
        <v>3.8436721167803261</v>
      </c>
      <c r="BB6">
        <v>5677.4159026289699</v>
      </c>
      <c r="BC6">
        <v>474.89859999999999</v>
      </c>
      <c r="BD6">
        <v>362.56994498833922</v>
      </c>
      <c r="BE6">
        <v>1.0556619614574616</v>
      </c>
      <c r="BF6">
        <v>0.98797415377022313</v>
      </c>
      <c r="BG6">
        <v>1.0386608568197446</v>
      </c>
      <c r="BH6">
        <v>-6.1496745846770899</v>
      </c>
      <c r="BI6">
        <v>0.99976450450362808</v>
      </c>
      <c r="BJ6">
        <v>1.0018544095943658</v>
      </c>
      <c r="BK6">
        <v>0.99685436196472321</v>
      </c>
      <c r="BL6">
        <v>0.36461836527612718</v>
      </c>
      <c r="BM6">
        <v>1.0026606760331278</v>
      </c>
      <c r="BN6">
        <v>0.99948403832499211</v>
      </c>
      <c r="BO6">
        <v>1.0030315900789044</v>
      </c>
      <c r="BP6">
        <v>-0.5647882182995797</v>
      </c>
      <c r="BQ6">
        <v>0.99987126271833249</v>
      </c>
      <c r="BR6">
        <v>0.99901557526603424</v>
      </c>
      <c r="BS6">
        <v>1.0067174804197541</v>
      </c>
      <c r="BT6">
        <v>0.99782012520650898</v>
      </c>
      <c r="BU6">
        <v>1.0049815336459034</v>
      </c>
      <c r="BV6">
        <v>-0.79539906228949619</v>
      </c>
      <c r="BW6">
        <v>1</v>
      </c>
      <c r="BX6">
        <v>1</v>
      </c>
      <c r="BY6">
        <v>0</v>
      </c>
      <c r="BZ6">
        <v>1.0032312000000001</v>
      </c>
      <c r="CA6">
        <v>7830.2962989683847</v>
      </c>
      <c r="CB6">
        <v>7952.6793013030483</v>
      </c>
      <c r="CC6">
        <v>0.99678560000000005</v>
      </c>
      <c r="CD6">
        <v>-0.83440000000000003</v>
      </c>
      <c r="CE6">
        <v>0.99963578089082272</v>
      </c>
      <c r="CF6">
        <v>1.0000023912192153</v>
      </c>
      <c r="CG6">
        <v>0.99947432290533644</v>
      </c>
      <c r="CH6">
        <v>7.9312065673400101E-2</v>
      </c>
      <c r="CI6">
        <v>0.99509201211669052</v>
      </c>
      <c r="CJ6">
        <v>1.0016392961487157</v>
      </c>
      <c r="CK6">
        <v>0.99668423571248432</v>
      </c>
      <c r="CL6">
        <v>0.45768461019801698</v>
      </c>
      <c r="CM6" t="s">
        <v>354</v>
      </c>
      <c r="CN6" t="s">
        <v>355</v>
      </c>
      <c r="CO6" t="s">
        <v>356</v>
      </c>
      <c r="CP6">
        <v>-6.7228481512947322</v>
      </c>
      <c r="CQ6">
        <v>3.0033404211300244E-2</v>
      </c>
      <c r="CR6">
        <v>-0.33834338024760602</v>
      </c>
      <c r="CS6">
        <v>1.6416475269499103E-2</v>
      </c>
      <c r="CT6">
        <v>-0.8507823433330387</v>
      </c>
      <c r="CU6">
        <v>0</v>
      </c>
      <c r="CV6">
        <v>-0.41066007183802467</v>
      </c>
      <c r="CW6">
        <v>4.6455870634788898E-2</v>
      </c>
      <c r="CX6">
        <v>0.62886859994994626</v>
      </c>
      <c r="CY6">
        <v>121.65466245083563</v>
      </c>
      <c r="CZ6">
        <v>-18.499489601678746</v>
      </c>
      <c r="DA6">
        <v>5.1594127909085232</v>
      </c>
      <c r="DB6">
        <v>9.8484742255298166</v>
      </c>
      <c r="DC6">
        <v>21.834235257611684</v>
      </c>
      <c r="DD6">
        <v>0</v>
      </c>
      <c r="DE6">
        <v>32.229744224023818</v>
      </c>
      <c r="DF6">
        <v>-2.3898852472345869E-2</v>
      </c>
      <c r="DG6">
        <v>-16.357041634040126</v>
      </c>
    </row>
    <row r="7" spans="1:111" x14ac:dyDescent="0.25">
      <c r="A7" s="34">
        <v>46104</v>
      </c>
      <c r="B7">
        <v>6</v>
      </c>
      <c r="C7" s="35">
        <v>46104.25</v>
      </c>
      <c r="D7" t="s">
        <v>269</v>
      </c>
      <c r="E7">
        <v>127.5834751171875</v>
      </c>
      <c r="F7">
        <v>23.48404288981968</v>
      </c>
      <c r="G7">
        <v>1058.1806567824308</v>
      </c>
      <c r="H7">
        <v>127.5834751171875</v>
      </c>
      <c r="I7">
        <v>23.48404288981968</v>
      </c>
      <c r="J7">
        <v>119.96523154258659</v>
      </c>
      <c r="K7">
        <v>8294.0259764085804</v>
      </c>
      <c r="L7">
        <v>8424.3008257797446</v>
      </c>
      <c r="M7">
        <v>10033.914220301687</v>
      </c>
      <c r="N7">
        <v>10191.517616694595</v>
      </c>
      <c r="O7">
        <v>556.43959507084116</v>
      </c>
      <c r="P7">
        <v>36.869190761480326</v>
      </c>
      <c r="Q7">
        <v>419.76066207175603</v>
      </c>
      <c r="R7" s="126">
        <v>0.33480210978692898</v>
      </c>
      <c r="S7" s="118">
        <v>1.0635037625205308</v>
      </c>
      <c r="T7">
        <v>3.8436721167803261</v>
      </c>
      <c r="U7">
        <v>0.98453582652550797</v>
      </c>
      <c r="V7">
        <v>1.0399132440007108</v>
      </c>
      <c r="W7">
        <v>548.98356993952439</v>
      </c>
      <c r="X7">
        <v>436.51467179892597</v>
      </c>
      <c r="Y7">
        <v>18.593008236627576</v>
      </c>
      <c r="Z7">
        <v>548.98356993952439</v>
      </c>
      <c r="AA7">
        <v>358.60364241032067</v>
      </c>
      <c r="AB7">
        <v>11.531059220059182</v>
      </c>
      <c r="AC7">
        <v>11.466598852426115</v>
      </c>
      <c r="AD7">
        <v>0.86457496956730995</v>
      </c>
      <c r="AE7">
        <v>85.792758836805561</v>
      </c>
      <c r="AF7">
        <v>17.907411440364299</v>
      </c>
      <c r="AG7">
        <v>18.997900669914351</v>
      </c>
      <c r="AH7">
        <v>0.51905073029962512</v>
      </c>
      <c r="AI7">
        <v>2.2085681766296261</v>
      </c>
      <c r="AJ7" t="s">
        <v>200</v>
      </c>
      <c r="AL7">
        <v>19.332918951146869</v>
      </c>
      <c r="AM7">
        <v>87.453668726092417</v>
      </c>
      <c r="AN7">
        <v>1005.6215769351195</v>
      </c>
      <c r="AO7">
        <v>18.593008236627576</v>
      </c>
      <c r="AP7">
        <v>87.453668726092417</v>
      </c>
      <c r="AQ7">
        <v>91.58644412904907</v>
      </c>
      <c r="AR7">
        <v>1.0016906272916668</v>
      </c>
      <c r="AS7">
        <v>3005.0718818750006</v>
      </c>
      <c r="AT7">
        <v>36.869190761480326</v>
      </c>
      <c r="AU7">
        <v>2.451573706018793</v>
      </c>
      <c r="AV7">
        <v>76.2</v>
      </c>
      <c r="AW7">
        <v>0</v>
      </c>
      <c r="AX7">
        <v>266.7</v>
      </c>
      <c r="AY7">
        <v>1005.6215769351195</v>
      </c>
      <c r="AZ7">
        <v>13205.669389514984</v>
      </c>
      <c r="BA7">
        <v>3.8436721167803261</v>
      </c>
      <c r="BB7">
        <v>5677.4159026289699</v>
      </c>
      <c r="BC7">
        <v>474.89859999999999</v>
      </c>
      <c r="BD7">
        <v>363.02511022305129</v>
      </c>
      <c r="BE7">
        <v>1.0566721827636947</v>
      </c>
      <c r="BF7">
        <v>0.98777822330959086</v>
      </c>
      <c r="BG7">
        <v>1.039359851976595</v>
      </c>
      <c r="BH7">
        <v>-6.2606376588189621</v>
      </c>
      <c r="BI7">
        <v>0.9997691480857348</v>
      </c>
      <c r="BJ7">
        <v>1.0018343719376146</v>
      </c>
      <c r="BK7">
        <v>0.99688617881752384</v>
      </c>
      <c r="BL7">
        <v>0.36131234633647263</v>
      </c>
      <c r="BM7">
        <v>1.0020086942368811</v>
      </c>
      <c r="BN7">
        <v>0.99961139028350132</v>
      </c>
      <c r="BO7">
        <v>1.0022920214863305</v>
      </c>
      <c r="BP7">
        <v>-0.42732030359464862</v>
      </c>
      <c r="BQ7">
        <v>0.99987263781986879</v>
      </c>
      <c r="BR7">
        <v>0.99902709174140114</v>
      </c>
      <c r="BS7">
        <v>1.0067106855073382</v>
      </c>
      <c r="BT7">
        <v>0.99782414038202727</v>
      </c>
      <c r="BU7">
        <v>1.0049813792160758</v>
      </c>
      <c r="BV7">
        <v>-0.79586235177239339</v>
      </c>
      <c r="BW7">
        <v>1</v>
      </c>
      <c r="BX7">
        <v>1</v>
      </c>
      <c r="BY7">
        <v>0</v>
      </c>
      <c r="BZ7">
        <v>1.0032312000000001</v>
      </c>
      <c r="CA7">
        <v>7861.2188188816517</v>
      </c>
      <c r="CB7">
        <v>7984.6955357880806</v>
      </c>
      <c r="CC7">
        <v>0.99678560000000005</v>
      </c>
      <c r="CD7">
        <v>-0.83440000000000003</v>
      </c>
      <c r="CE7">
        <v>0.99980177465723363</v>
      </c>
      <c r="CF7">
        <v>1.000001314886686</v>
      </c>
      <c r="CG7">
        <v>0.99971387551051394</v>
      </c>
      <c r="CH7">
        <v>4.3198226334742962E-2</v>
      </c>
      <c r="CI7">
        <v>0.99509201211669052</v>
      </c>
      <c r="CJ7">
        <v>1.0016392961487157</v>
      </c>
      <c r="CK7">
        <v>0.99668423571248432</v>
      </c>
      <c r="CL7">
        <v>0.45768461019801698</v>
      </c>
      <c r="CM7" t="s">
        <v>357</v>
      </c>
      <c r="CN7" t="s">
        <v>358</v>
      </c>
      <c r="CO7" t="s">
        <v>359</v>
      </c>
      <c r="CP7">
        <v>-6.8426463168147018</v>
      </c>
      <c r="CQ7">
        <v>2.9459690285313374E-2</v>
      </c>
      <c r="CR7">
        <v>-0.2557624426446013</v>
      </c>
      <c r="CS7">
        <v>1.6251379350755893E-2</v>
      </c>
      <c r="CT7">
        <v>-0.85046537179973269</v>
      </c>
      <c r="CU7">
        <v>0</v>
      </c>
      <c r="CV7">
        <v>-0.41091996022319527</v>
      </c>
      <c r="CW7">
        <v>2.5295292254415857E-2</v>
      </c>
      <c r="CX7">
        <v>0.62926658274918457</v>
      </c>
      <c r="CY7">
        <v>124.14958746545759</v>
      </c>
      <c r="CZ7">
        <v>-18.372229168535455</v>
      </c>
      <c r="DA7">
        <v>3.9007924463710797</v>
      </c>
      <c r="DB7">
        <v>9.7715848666196443</v>
      </c>
      <c r="DC7">
        <v>21.879996563119029</v>
      </c>
      <c r="DD7">
        <v>0</v>
      </c>
      <c r="DE7">
        <v>32.357022282160422</v>
      </c>
      <c r="DF7">
        <v>-1.3193442868369827E-2</v>
      </c>
      <c r="DG7">
        <v>-16.421637011576145</v>
      </c>
    </row>
    <row r="8" spans="1:111" x14ac:dyDescent="0.25">
      <c r="A8" s="34">
        <v>46104</v>
      </c>
      <c r="B8">
        <v>20</v>
      </c>
      <c r="C8" s="35">
        <v>46104.833333333336</v>
      </c>
      <c r="D8" t="s">
        <v>269</v>
      </c>
      <c r="E8">
        <v>123.42359285590274</v>
      </c>
      <c r="F8">
        <v>22.341399699534307</v>
      </c>
      <c r="G8">
        <v>1006.693656556916</v>
      </c>
      <c r="H8">
        <v>123.42359285590274</v>
      </c>
      <c r="I8">
        <v>22.341399699534307</v>
      </c>
      <c r="J8">
        <v>118.78545636369374</v>
      </c>
      <c r="K8">
        <v>8156.4118598640425</v>
      </c>
      <c r="L8">
        <v>8247.001926026549</v>
      </c>
      <c r="M8">
        <v>9867.4319540490778</v>
      </c>
      <c r="N8">
        <v>9977.025649037676</v>
      </c>
      <c r="O8">
        <v>556.93007153445296</v>
      </c>
      <c r="P8">
        <v>33.556435435957383</v>
      </c>
      <c r="Q8">
        <v>424.14076521464631</v>
      </c>
      <c r="R8" s="126">
        <v>0.34199988253303898</v>
      </c>
      <c r="S8" s="118">
        <v>1.0390463330629307</v>
      </c>
      <c r="T8">
        <v>3.8436721167803261</v>
      </c>
      <c r="U8">
        <v>0.9890153940819858</v>
      </c>
      <c r="V8">
        <v>1.0209442750748854</v>
      </c>
      <c r="W8">
        <v>552.58741620973376</v>
      </c>
      <c r="X8">
        <v>433.02408607177426</v>
      </c>
      <c r="Y8">
        <v>21.552978778070873</v>
      </c>
      <c r="Z8">
        <v>552.58741620973376</v>
      </c>
      <c r="AA8">
        <v>361.25229794814214</v>
      </c>
      <c r="AB8">
        <v>11.268065045832</v>
      </c>
      <c r="AC8">
        <v>11.225743573763978</v>
      </c>
      <c r="AD8">
        <v>0.86361572902792905</v>
      </c>
      <c r="AE8">
        <v>85.89485660481769</v>
      </c>
      <c r="AF8">
        <v>21.126610096558228</v>
      </c>
      <c r="AG8">
        <v>20.936066603438594</v>
      </c>
      <c r="AH8">
        <v>0.9487957887537688</v>
      </c>
      <c r="AI8">
        <v>0.92757012599585731</v>
      </c>
      <c r="AJ8" t="s">
        <v>200</v>
      </c>
      <c r="AL8">
        <v>29.453438518195675</v>
      </c>
      <c r="AM8">
        <v>48.281451655850937</v>
      </c>
      <c r="AN8">
        <v>1003.7700373066541</v>
      </c>
      <c r="AO8">
        <v>21.552978778070873</v>
      </c>
      <c r="AP8">
        <v>48.281451655850937</v>
      </c>
      <c r="AQ8">
        <v>77.165031816063617</v>
      </c>
      <c r="AR8">
        <v>0.99865454930555542</v>
      </c>
      <c r="AS8">
        <v>2995.9636479166661</v>
      </c>
      <c r="AT8">
        <v>33.556435435957383</v>
      </c>
      <c r="AU8">
        <v>2.464777793836991</v>
      </c>
      <c r="AV8">
        <v>76.2</v>
      </c>
      <c r="AW8">
        <v>0</v>
      </c>
      <c r="AX8">
        <v>266.7</v>
      </c>
      <c r="AY8">
        <v>1003.7700373066541</v>
      </c>
      <c r="AZ8">
        <v>13205.669389514984</v>
      </c>
      <c r="BA8">
        <v>3.8436721167803261</v>
      </c>
      <c r="BB8">
        <v>5677.4159026289699</v>
      </c>
      <c r="BC8">
        <v>474.89859999999999</v>
      </c>
      <c r="BD8">
        <v>354.39972692412152</v>
      </c>
      <c r="BE8">
        <v>1.0374809768544877</v>
      </c>
      <c r="BF8">
        <v>0.99158836635368697</v>
      </c>
      <c r="BG8">
        <v>1.0260704936852618</v>
      </c>
      <c r="BH8">
        <v>-4.1501106400683669</v>
      </c>
      <c r="BI8">
        <v>0.99978360046224957</v>
      </c>
      <c r="BJ8">
        <v>1.0015061957797744</v>
      </c>
      <c r="BK8">
        <v>0.9974658647450948</v>
      </c>
      <c r="BL8">
        <v>0.28878890783017735</v>
      </c>
      <c r="BM8">
        <v>0.99816881422313641</v>
      </c>
      <c r="BN8">
        <v>1.0003812213665022</v>
      </c>
      <c r="BO8">
        <v>0.99800754221679111</v>
      </c>
      <c r="BP8">
        <v>0.36568221839793535</v>
      </c>
      <c r="BQ8">
        <v>0.99991056823344404</v>
      </c>
      <c r="BR8">
        <v>0.9993441670452563</v>
      </c>
      <c r="BS8">
        <v>1.0068396347190447</v>
      </c>
      <c r="BT8">
        <v>0.99774794312056447</v>
      </c>
      <c r="BU8">
        <v>1.0049843098799782</v>
      </c>
      <c r="BV8">
        <v>-0.78707036006513598</v>
      </c>
      <c r="BW8">
        <v>1</v>
      </c>
      <c r="BX8">
        <v>1</v>
      </c>
      <c r="BY8">
        <v>0</v>
      </c>
      <c r="BZ8">
        <v>1.0032312000000001</v>
      </c>
      <c r="CA8">
        <v>7730.7858197807573</v>
      </c>
      <c r="CB8">
        <v>7816.6486245207061</v>
      </c>
      <c r="CC8">
        <v>0.99678560000000005</v>
      </c>
      <c r="CD8">
        <v>-0.83440000000000003</v>
      </c>
      <c r="CE8">
        <v>0.99852520956432067</v>
      </c>
      <c r="CF8">
        <v>1.000007885605126</v>
      </c>
      <c r="CG8">
        <v>0.99787490971129156</v>
      </c>
      <c r="CH8">
        <v>0.31676993898816852</v>
      </c>
      <c r="CI8">
        <v>0.99509201211669052</v>
      </c>
      <c r="CJ8">
        <v>1.0016392961487157</v>
      </c>
      <c r="CK8">
        <v>0.99668423571248432</v>
      </c>
      <c r="CL8">
        <v>0.45768461019801698</v>
      </c>
      <c r="CM8" t="s">
        <v>360</v>
      </c>
      <c r="CN8" t="s">
        <v>361</v>
      </c>
      <c r="CO8" t="s">
        <v>362</v>
      </c>
      <c r="CP8">
        <v>-4.4589124334167227</v>
      </c>
      <c r="CQ8">
        <v>2.6714589466329108E-2</v>
      </c>
      <c r="CR8">
        <v>0.22642615612374703</v>
      </c>
      <c r="CS8">
        <v>1.1038977179016944E-2</v>
      </c>
      <c r="CT8">
        <v>-0.83843768335762459</v>
      </c>
      <c r="CU8">
        <v>0</v>
      </c>
      <c r="CV8">
        <v>-0.39752184066444973</v>
      </c>
      <c r="CW8">
        <v>0.18229277792644469</v>
      </c>
      <c r="CX8">
        <v>0.60874923210645249</v>
      </c>
      <c r="CY8">
        <v>83.705321122916956</v>
      </c>
      <c r="CZ8">
        <v>-14.839932522661607</v>
      </c>
      <c r="DA8">
        <v>-3.7602424086411146</v>
      </c>
      <c r="DB8">
        <v>6.4756339883296645</v>
      </c>
      <c r="DC8">
        <v>22.272176222160031</v>
      </c>
      <c r="DD8">
        <v>0</v>
      </c>
      <c r="DE8">
        <v>31.820155982484373</v>
      </c>
      <c r="DF8">
        <v>-7.7810058417995362E-2</v>
      </c>
      <c r="DG8">
        <v>-16.149169927919662</v>
      </c>
    </row>
    <row r="9" spans="1:111" x14ac:dyDescent="0.25">
      <c r="A9" s="34">
        <v>46104</v>
      </c>
      <c r="B9">
        <v>21</v>
      </c>
      <c r="C9" s="35">
        <v>46104.875</v>
      </c>
      <c r="D9" t="s">
        <v>269</v>
      </c>
      <c r="E9">
        <v>124.8589885329861</v>
      </c>
      <c r="F9">
        <v>22.069987948608929</v>
      </c>
      <c r="G9">
        <v>994.46396228322737</v>
      </c>
      <c r="H9">
        <v>124.8589885329861</v>
      </c>
      <c r="I9">
        <v>22.069987948608929</v>
      </c>
      <c r="J9">
        <v>119.22446657777135</v>
      </c>
      <c r="K9">
        <v>7964.696606688457</v>
      </c>
      <c r="L9">
        <v>8067.1508773713549</v>
      </c>
      <c r="M9">
        <v>9635.4994268832797</v>
      </c>
      <c r="N9">
        <v>9759.446152690487</v>
      </c>
      <c r="O9">
        <v>551.86023992763967</v>
      </c>
      <c r="P9">
        <v>34.647030328518539</v>
      </c>
      <c r="Q9">
        <v>421.31261979565704</v>
      </c>
      <c r="R9" s="126">
        <v>0.34962451215116702</v>
      </c>
      <c r="S9" s="118">
        <v>1.0472597791120273</v>
      </c>
      <c r="T9">
        <v>3.8436721167803261</v>
      </c>
      <c r="U9">
        <v>0.98729981969591196</v>
      </c>
      <c r="V9">
        <v>1.0286570536928481</v>
      </c>
      <c r="W9">
        <v>546.20490494303385</v>
      </c>
      <c r="X9">
        <v>433.3861981626157</v>
      </c>
      <c r="Y9">
        <v>21.006471615484028</v>
      </c>
      <c r="Z9">
        <v>546.20490494303385</v>
      </c>
      <c r="AA9">
        <v>357.33213173131315</v>
      </c>
      <c r="AB9">
        <v>11.404016070603266</v>
      </c>
      <c r="AC9">
        <v>11.354630379411748</v>
      </c>
      <c r="AD9">
        <v>0.87636259938399597</v>
      </c>
      <c r="AE9">
        <v>85.897977837456594</v>
      </c>
      <c r="AF9">
        <v>20.656074545657688</v>
      </c>
      <c r="AG9">
        <v>20.537451937580634</v>
      </c>
      <c r="AH9">
        <v>0.95629225246893756</v>
      </c>
      <c r="AI9">
        <v>0.9423485851875385</v>
      </c>
      <c r="AJ9" t="s">
        <v>200</v>
      </c>
      <c r="AL9">
        <v>28.6728928357633</v>
      </c>
      <c r="AM9">
        <v>49.163914470106754</v>
      </c>
      <c r="AN9">
        <v>1004.3493878304541</v>
      </c>
      <c r="AO9">
        <v>21.006471615484028</v>
      </c>
      <c r="AP9">
        <v>49.163914470106754</v>
      </c>
      <c r="AQ9">
        <v>77.670014350237466</v>
      </c>
      <c r="AR9">
        <v>1.0017962277083332</v>
      </c>
      <c r="AS9">
        <v>3005.3886831249997</v>
      </c>
      <c r="AT9">
        <v>34.647030328518539</v>
      </c>
      <c r="AU9">
        <v>2.5116078216407693</v>
      </c>
      <c r="AV9">
        <v>76.2</v>
      </c>
      <c r="AW9">
        <v>0</v>
      </c>
      <c r="AX9">
        <v>266.7</v>
      </c>
      <c r="AY9">
        <v>1004.3493878304541</v>
      </c>
      <c r="AZ9">
        <v>13205.669389514984</v>
      </c>
      <c r="BA9">
        <v>3.8436721167803261</v>
      </c>
      <c r="BB9">
        <v>5677.4159026289699</v>
      </c>
      <c r="BC9">
        <v>474.89859999999999</v>
      </c>
      <c r="BD9">
        <v>355.98211755419709</v>
      </c>
      <c r="BE9">
        <v>1.0410405380089716</v>
      </c>
      <c r="BF9">
        <v>0.99080995045525311</v>
      </c>
      <c r="BG9">
        <v>1.0285439605380162</v>
      </c>
      <c r="BH9">
        <v>-4.5436521377497883</v>
      </c>
      <c r="BI9">
        <v>0.99979111474984494</v>
      </c>
      <c r="BJ9">
        <v>1.0014786330720964</v>
      </c>
      <c r="BK9">
        <v>0.99750774614034632</v>
      </c>
      <c r="BL9">
        <v>0.28480761674106742</v>
      </c>
      <c r="BM9">
        <v>1.0022466176788236</v>
      </c>
      <c r="BN9">
        <v>0.99955020385248849</v>
      </c>
      <c r="BO9">
        <v>1.0025090123216895</v>
      </c>
      <c r="BP9">
        <v>-0.46259611477978002</v>
      </c>
      <c r="BQ9">
        <v>0.99989803393910259</v>
      </c>
      <c r="BR9">
        <v>0.99923978423998461</v>
      </c>
      <c r="BS9">
        <v>1.006815826486219</v>
      </c>
      <c r="BT9">
        <v>0.99776201162177958</v>
      </c>
      <c r="BU9">
        <v>1.0049837687837777</v>
      </c>
      <c r="BV9">
        <v>-0.78869364866687919</v>
      </c>
      <c r="BW9">
        <v>1</v>
      </c>
      <c r="BX9">
        <v>1</v>
      </c>
      <c r="BY9">
        <v>0</v>
      </c>
      <c r="BZ9">
        <v>1.0032312000000001</v>
      </c>
      <c r="CA9">
        <v>7549.0748436616332</v>
      </c>
      <c r="CB9">
        <v>7646.1827431374859</v>
      </c>
      <c r="CC9">
        <v>0.99678560000000005</v>
      </c>
      <c r="CD9">
        <v>-0.83440000000000003</v>
      </c>
      <c r="CE9">
        <v>0.99892502410590489</v>
      </c>
      <c r="CF9">
        <v>1.0000060025625241</v>
      </c>
      <c r="CG9">
        <v>0.99845052763164821</v>
      </c>
      <c r="CH9">
        <v>0.23151468965155869</v>
      </c>
      <c r="CI9">
        <v>0.99509201211669052</v>
      </c>
      <c r="CJ9">
        <v>1.0016392961487157</v>
      </c>
      <c r="CK9">
        <v>0.99668423571248432</v>
      </c>
      <c r="CL9">
        <v>0.45768461019801698</v>
      </c>
      <c r="CM9" t="s">
        <v>363</v>
      </c>
      <c r="CN9" t="s">
        <v>364</v>
      </c>
      <c r="CO9" t="s">
        <v>365</v>
      </c>
      <c r="CP9">
        <v>-4.9222675559302784</v>
      </c>
      <c r="CQ9">
        <v>2.6086650170273638E-2</v>
      </c>
      <c r="CR9">
        <v>-0.27988162399379723</v>
      </c>
      <c r="CS9">
        <v>1.2732677529324721E-2</v>
      </c>
      <c r="CT9">
        <v>-0.84525608229231808</v>
      </c>
      <c r="CU9">
        <v>0</v>
      </c>
      <c r="CV9">
        <v>-0.40214495297574143</v>
      </c>
      <c r="CW9">
        <v>0.13436484180001956</v>
      </c>
      <c r="CX9">
        <v>0.61582888354079035</v>
      </c>
      <c r="CY9">
        <v>89.372050695241782</v>
      </c>
      <c r="CZ9">
        <v>-14.226332592889012</v>
      </c>
      <c r="DA9">
        <v>4.3359608200347415</v>
      </c>
      <c r="DB9">
        <v>7.3306313814436752</v>
      </c>
      <c r="DC9">
        <v>21.612504269092959</v>
      </c>
      <c r="DD9">
        <v>0</v>
      </c>
      <c r="DE9">
        <v>31.072227927221821</v>
      </c>
      <c r="DF9">
        <v>-5.7837340589237264E-2</v>
      </c>
      <c r="DG9">
        <v>-15.769586079715332</v>
      </c>
    </row>
    <row r="10" spans="1:111" x14ac:dyDescent="0.25">
      <c r="A10" s="34">
        <v>46104</v>
      </c>
      <c r="B10">
        <v>22</v>
      </c>
      <c r="C10" s="35">
        <v>46104.916666666664</v>
      </c>
      <c r="D10" t="s">
        <v>269</v>
      </c>
      <c r="E10">
        <v>125.49074146701392</v>
      </c>
      <c r="F10">
        <v>22.621092318550755</v>
      </c>
      <c r="G10">
        <v>1019.2964831092521</v>
      </c>
      <c r="H10">
        <v>125.49074146701392</v>
      </c>
      <c r="I10">
        <v>22.621092318550755</v>
      </c>
      <c r="J10">
        <v>119.43897627521618</v>
      </c>
      <c r="K10">
        <v>8122.4835489332181</v>
      </c>
      <c r="L10">
        <v>8230.7404084388982</v>
      </c>
      <c r="M10">
        <v>9826.3862951027568</v>
      </c>
      <c r="N10">
        <v>9957.3528540608477</v>
      </c>
      <c r="O10">
        <v>556.40636807890553</v>
      </c>
      <c r="P10">
        <v>33.724589463342028</v>
      </c>
      <c r="Q10">
        <v>421.22086864938979</v>
      </c>
      <c r="R10" s="126">
        <v>0.34267557351936601</v>
      </c>
      <c r="S10" s="118">
        <v>1.0506682607346953</v>
      </c>
      <c r="T10">
        <v>3.8436721167803261</v>
      </c>
      <c r="U10">
        <v>0.98684725138522345</v>
      </c>
      <c r="V10">
        <v>1.0314306117731642</v>
      </c>
      <c r="W10">
        <v>550.30806404344332</v>
      </c>
      <c r="X10">
        <v>434.46009824266372</v>
      </c>
      <c r="Y10">
        <v>20.601536260794003</v>
      </c>
      <c r="Z10">
        <v>550.30806404344332</v>
      </c>
      <c r="AA10">
        <v>361.09515271052885</v>
      </c>
      <c r="AB10">
        <v>11.432284116230807</v>
      </c>
      <c r="AC10">
        <v>11.37602441252421</v>
      </c>
      <c r="AD10">
        <v>0.86537260014001505</v>
      </c>
      <c r="AE10">
        <v>85.896958509114583</v>
      </c>
      <c r="AF10">
        <v>20.326374533247098</v>
      </c>
      <c r="AG10">
        <v>20.335971730646545</v>
      </c>
      <c r="AH10">
        <v>0.96330429669793016</v>
      </c>
      <c r="AI10">
        <v>0.96453879733168724</v>
      </c>
      <c r="AJ10" t="s">
        <v>200</v>
      </c>
      <c r="AL10">
        <v>27.824847182261152</v>
      </c>
      <c r="AM10">
        <v>51.189621636301688</v>
      </c>
      <c r="AN10">
        <v>1004.945462638482</v>
      </c>
      <c r="AO10">
        <v>20.601536260794003</v>
      </c>
      <c r="AP10">
        <v>51.189621636301688</v>
      </c>
      <c r="AQ10">
        <v>78.922877274801778</v>
      </c>
      <c r="AR10">
        <v>1.0020778962268519</v>
      </c>
      <c r="AS10">
        <v>3006.2336886805556</v>
      </c>
      <c r="AT10">
        <v>33.724589463342028</v>
      </c>
      <c r="AU10">
        <v>2.5054865987406836</v>
      </c>
      <c r="AV10">
        <v>76.2</v>
      </c>
      <c r="AW10">
        <v>0</v>
      </c>
      <c r="AX10">
        <v>266.7</v>
      </c>
      <c r="AY10">
        <v>1004.945462638482</v>
      </c>
      <c r="AZ10">
        <v>13205.669389514984</v>
      </c>
      <c r="BA10">
        <v>3.8436721167803261</v>
      </c>
      <c r="BB10">
        <v>5677.4159026289699</v>
      </c>
      <c r="BC10">
        <v>474.89859999999999</v>
      </c>
      <c r="BD10">
        <v>357.16380390561505</v>
      </c>
      <c r="BE10">
        <v>1.043663244310876</v>
      </c>
      <c r="BF10">
        <v>0.99030128166093567</v>
      </c>
      <c r="BG10">
        <v>1.0303586708312567</v>
      </c>
      <c r="BH10">
        <v>-4.8317311477993279</v>
      </c>
      <c r="BI10">
        <v>0.99979046420412765</v>
      </c>
      <c r="BJ10">
        <v>1.0015004641397511</v>
      </c>
      <c r="BK10">
        <v>0.99746732537607019</v>
      </c>
      <c r="BL10">
        <v>0.29019065848628406</v>
      </c>
      <c r="BM10">
        <v>1.0025770855932139</v>
      </c>
      <c r="BN10">
        <v>0.99948683531708926</v>
      </c>
      <c r="BO10">
        <v>1.0028881243850807</v>
      </c>
      <c r="BP10">
        <v>-0.53347017426112542</v>
      </c>
      <c r="BQ10">
        <v>0.99990857612041895</v>
      </c>
      <c r="BR10">
        <v>0.99932807500850873</v>
      </c>
      <c r="BS10">
        <v>1.0067981857380941</v>
      </c>
      <c r="BT10">
        <v>0.99777243570021723</v>
      </c>
      <c r="BU10">
        <v>1.0049833678576841</v>
      </c>
      <c r="BV10">
        <v>-0.78989642694813655</v>
      </c>
      <c r="BW10">
        <v>1</v>
      </c>
      <c r="BX10">
        <v>1</v>
      </c>
      <c r="BY10">
        <v>0</v>
      </c>
      <c r="BZ10">
        <v>1.0032312000000001</v>
      </c>
      <c r="CA10">
        <v>7698.6279898992361</v>
      </c>
      <c r="CB10">
        <v>7801.2356817053314</v>
      </c>
      <c r="CC10">
        <v>0.99678560000000005</v>
      </c>
      <c r="CD10">
        <v>-0.83440000000000003</v>
      </c>
      <c r="CE10">
        <v>0.99933586031402089</v>
      </c>
      <c r="CF10">
        <v>1.0000038252081891</v>
      </c>
      <c r="CG10">
        <v>0.99904248214044566</v>
      </c>
      <c r="CH10">
        <v>0.14331844486212769</v>
      </c>
      <c r="CI10">
        <v>0.99509201211669052</v>
      </c>
      <c r="CJ10">
        <v>1.0016392961487157</v>
      </c>
      <c r="CK10">
        <v>0.99668423571248432</v>
      </c>
      <c r="CL10">
        <v>0.45768461019801698</v>
      </c>
      <c r="CM10" t="s">
        <v>366</v>
      </c>
      <c r="CN10" t="s">
        <v>367</v>
      </c>
      <c r="CO10" t="s">
        <v>368</v>
      </c>
      <c r="CP10">
        <v>-5.2500966507114732</v>
      </c>
      <c r="CQ10">
        <v>2.6300313244956644E-2</v>
      </c>
      <c r="CR10">
        <v>-0.32256909375204407</v>
      </c>
      <c r="CS10">
        <v>1.1473899424830444E-2</v>
      </c>
      <c r="CT10">
        <v>-0.84734893346920426</v>
      </c>
      <c r="CU10">
        <v>0</v>
      </c>
      <c r="CV10">
        <v>-0.40417969838679996</v>
      </c>
      <c r="CW10">
        <v>8.3398770064152347E-2</v>
      </c>
      <c r="CX10">
        <v>0.61894481222647868</v>
      </c>
      <c r="CY10">
        <v>96.236725865083386</v>
      </c>
      <c r="CZ10">
        <v>-14.722050350529068</v>
      </c>
      <c r="DA10">
        <v>5.0451433966962362</v>
      </c>
      <c r="DB10">
        <v>6.6070339589645473</v>
      </c>
      <c r="DC10">
        <v>21.937775111499811</v>
      </c>
      <c r="DD10">
        <v>0</v>
      </c>
      <c r="DE10">
        <v>31.687793349921211</v>
      </c>
      <c r="DF10">
        <v>-3.7587829543692372E-2</v>
      </c>
      <c r="DG10">
        <v>-16.081994058431597</v>
      </c>
    </row>
    <row r="11" spans="1:111" x14ac:dyDescent="0.25">
      <c r="A11" s="34">
        <v>46104</v>
      </c>
      <c r="B11">
        <v>23</v>
      </c>
      <c r="C11" s="35">
        <v>46104.958333333336</v>
      </c>
      <c r="D11" t="s">
        <v>269</v>
      </c>
      <c r="E11">
        <v>125.16463278211805</v>
      </c>
      <c r="F11">
        <v>22.671046383832831</v>
      </c>
      <c r="G11">
        <v>1021.547391347546</v>
      </c>
      <c r="H11">
        <v>125.16463278211805</v>
      </c>
      <c r="I11">
        <v>22.671046383832831</v>
      </c>
      <c r="J11">
        <v>119.34642715654414</v>
      </c>
      <c r="K11">
        <v>8161.6297562732261</v>
      </c>
      <c r="L11">
        <v>8267.7316992814613</v>
      </c>
      <c r="M11">
        <v>9873.7444403047411</v>
      </c>
      <c r="N11">
        <v>10002.104032833164</v>
      </c>
      <c r="O11">
        <v>556.46962798112509</v>
      </c>
      <c r="P11">
        <v>33.853886322360566</v>
      </c>
      <c r="Q11">
        <v>422.73816069888642</v>
      </c>
      <c r="R11" s="126">
        <v>0.34114238252263901</v>
      </c>
      <c r="S11" s="118">
        <v>1.0487505639187866</v>
      </c>
      <c r="T11">
        <v>3.8436721167803261</v>
      </c>
      <c r="U11">
        <v>0.98716674090700651</v>
      </c>
      <c r="V11">
        <v>1.028473134323215</v>
      </c>
      <c r="W11">
        <v>550.94013699150935</v>
      </c>
      <c r="X11">
        <v>434.77484113201467</v>
      </c>
      <c r="Y11">
        <v>20.241056337750756</v>
      </c>
      <c r="Z11">
        <v>550.94013699150935</v>
      </c>
      <c r="AA11">
        <v>359.67514964645386</v>
      </c>
      <c r="AB11">
        <v>11.387268530067868</v>
      </c>
      <c r="AC11">
        <v>11.330926278286666</v>
      </c>
      <c r="AD11">
        <v>0.86504481264501998</v>
      </c>
      <c r="AE11">
        <v>85.897125493706582</v>
      </c>
      <c r="AF11">
        <v>19.912341190917477</v>
      </c>
      <c r="AG11">
        <v>19.986944153084753</v>
      </c>
      <c r="AH11">
        <v>0.954393787689366</v>
      </c>
      <c r="AI11">
        <v>0.96437553437386014</v>
      </c>
      <c r="AJ11" t="s">
        <v>200</v>
      </c>
      <c r="AL11">
        <v>27.120024753725254</v>
      </c>
      <c r="AM11">
        <v>52.160187670031654</v>
      </c>
      <c r="AN11">
        <v>1004.9724312379624</v>
      </c>
      <c r="AO11">
        <v>20.241056337750756</v>
      </c>
      <c r="AP11">
        <v>52.160187670031654</v>
      </c>
      <c r="AQ11">
        <v>78.908823238191644</v>
      </c>
      <c r="AR11">
        <v>0.99886771349537029</v>
      </c>
      <c r="AS11">
        <v>2996.603140486111</v>
      </c>
      <c r="AT11">
        <v>33.853886322360566</v>
      </c>
      <c r="AU11">
        <v>2.4889239742220104</v>
      </c>
      <c r="AV11">
        <v>76.2</v>
      </c>
      <c r="AW11">
        <v>0</v>
      </c>
      <c r="AX11">
        <v>266.7</v>
      </c>
      <c r="AY11">
        <v>1004.9724312379624</v>
      </c>
      <c r="AZ11">
        <v>13205.669389514984</v>
      </c>
      <c r="BA11">
        <v>3.8436721167803261</v>
      </c>
      <c r="BB11">
        <v>5677.4159026289699</v>
      </c>
      <c r="BC11">
        <v>474.89859999999999</v>
      </c>
      <c r="BD11">
        <v>358.21575997733538</v>
      </c>
      <c r="BE11">
        <v>1.0459980193679939</v>
      </c>
      <c r="BF11">
        <v>0.98984845657242149</v>
      </c>
      <c r="BG11">
        <v>1.0319741549308208</v>
      </c>
      <c r="BH11">
        <v>-5.088183685643366</v>
      </c>
      <c r="BI11">
        <v>0.99979850393849878</v>
      </c>
      <c r="BJ11">
        <v>1.0014625469290444</v>
      </c>
      <c r="BK11">
        <v>0.9975281027950702</v>
      </c>
      <c r="BL11">
        <v>0.28382489192133686</v>
      </c>
      <c r="BM11">
        <v>0.99850364626232335</v>
      </c>
      <c r="BN11">
        <v>1.0003087629400973</v>
      </c>
      <c r="BO11">
        <v>0.9983596888308901</v>
      </c>
      <c r="BP11">
        <v>0.30303953261364514</v>
      </c>
      <c r="BQ11">
        <v>0.99990709844203018</v>
      </c>
      <c r="BR11">
        <v>0.9993156994520026</v>
      </c>
      <c r="BS11">
        <v>1.0067824816622388</v>
      </c>
      <c r="BT11">
        <v>0.99778171538140459</v>
      </c>
      <c r="BU11">
        <v>1.0049830109468689</v>
      </c>
      <c r="BV11">
        <v>-0.79096715939281959</v>
      </c>
      <c r="BW11">
        <v>1</v>
      </c>
      <c r="BX11">
        <v>1</v>
      </c>
      <c r="BY11">
        <v>0</v>
      </c>
      <c r="BZ11">
        <v>1.0032312000000001</v>
      </c>
      <c r="CA11">
        <v>7735.7314307016204</v>
      </c>
      <c r="CB11">
        <v>7836.2966560178565</v>
      </c>
      <c r="CC11">
        <v>0.99678560000000005</v>
      </c>
      <c r="CD11">
        <v>-0.83440000000000003</v>
      </c>
      <c r="CE11">
        <v>0.99935464596370727</v>
      </c>
      <c r="CF11">
        <v>1.000003818044624</v>
      </c>
      <c r="CG11">
        <v>0.99906937089509196</v>
      </c>
      <c r="CH11">
        <v>0.13951082068741816</v>
      </c>
      <c r="CI11">
        <v>0.99509201211669052</v>
      </c>
      <c r="CJ11">
        <v>1.0016392961487157</v>
      </c>
      <c r="CK11">
        <v>0.99668423571248432</v>
      </c>
      <c r="CL11">
        <v>0.45768461019801698</v>
      </c>
      <c r="CM11" t="s">
        <v>369</v>
      </c>
      <c r="CN11" t="s">
        <v>370</v>
      </c>
      <c r="CO11" t="s">
        <v>371</v>
      </c>
      <c r="CP11">
        <v>-5.5041454154744507</v>
      </c>
      <c r="CQ11">
        <v>2.5225263336050789E-2</v>
      </c>
      <c r="CR11">
        <v>0.18757123901303541</v>
      </c>
      <c r="CS11">
        <v>1.1629069746868127E-2</v>
      </c>
      <c r="CT11">
        <v>-0.84320778526455198</v>
      </c>
      <c r="CU11">
        <v>0</v>
      </c>
      <c r="CV11">
        <v>-0.40312936982581066</v>
      </c>
      <c r="CW11">
        <v>8.0827663425863991E-2</v>
      </c>
      <c r="CX11">
        <v>0.61733638058938178</v>
      </c>
      <c r="CY11">
        <v>101.26170810595465</v>
      </c>
      <c r="CZ11">
        <v>-14.419725084696291</v>
      </c>
      <c r="DA11">
        <v>-3.0477053446953288</v>
      </c>
      <c r="DB11">
        <v>6.7612354484102406</v>
      </c>
      <c r="DC11">
        <v>21.951470028189142</v>
      </c>
      <c r="DD11">
        <v>0</v>
      </c>
      <c r="DE11">
        <v>31.840512271560183</v>
      </c>
      <c r="DF11">
        <v>-3.7698252945188734E-2</v>
      </c>
      <c r="DG11">
        <v>-16.159501026597116</v>
      </c>
    </row>
    <row r="12" spans="1:111" x14ac:dyDescent="0.25">
      <c r="A12" s="34">
        <v>46104</v>
      </c>
      <c r="B12">
        <v>24</v>
      </c>
      <c r="C12" s="35">
        <v>46105</v>
      </c>
      <c r="D12" t="s">
        <v>269</v>
      </c>
      <c r="E12">
        <v>126.02192802517358</v>
      </c>
      <c r="F12">
        <v>23.156372231342527</v>
      </c>
      <c r="G12">
        <v>1043.415960847303</v>
      </c>
      <c r="H12">
        <v>126.02192802517358</v>
      </c>
      <c r="I12">
        <v>23.156372231342527</v>
      </c>
      <c r="J12">
        <v>119.73262781502342</v>
      </c>
      <c r="K12">
        <v>8279.6381328087209</v>
      </c>
      <c r="L12">
        <v>8393.0857192424664</v>
      </c>
      <c r="M12">
        <v>10016.508151294098</v>
      </c>
      <c r="N12">
        <v>10153.754327519528</v>
      </c>
      <c r="O12">
        <v>556.27748681569642</v>
      </c>
      <c r="P12">
        <v>33.402242151474418</v>
      </c>
      <c r="Q12">
        <v>422.0409330679891</v>
      </c>
      <c r="R12" s="126">
        <v>0.33604728752912</v>
      </c>
      <c r="S12" s="118">
        <v>1.0525278725183129</v>
      </c>
      <c r="T12">
        <v>3.8436721167803261</v>
      </c>
      <c r="U12">
        <v>0.98648320889018815</v>
      </c>
      <c r="V12">
        <v>1.0317119046153675</v>
      </c>
      <c r="W12">
        <v>550.18805253984237</v>
      </c>
      <c r="X12">
        <v>435.4246548812219</v>
      </c>
      <c r="Y12">
        <v>19.932716339014895</v>
      </c>
      <c r="Z12">
        <v>550.18805253984237</v>
      </c>
      <c r="AA12">
        <v>359.93046775553381</v>
      </c>
      <c r="AB12">
        <v>11.447856868529584</v>
      </c>
      <c r="AC12">
        <v>11.392854546287067</v>
      </c>
      <c r="AD12">
        <v>0.86539095643474595</v>
      </c>
      <c r="AE12">
        <v>85.898606770833339</v>
      </c>
      <c r="AF12">
        <v>19.632085498500338</v>
      </c>
      <c r="AG12">
        <v>19.795883402376699</v>
      </c>
      <c r="AH12">
        <v>0.95557935543321348</v>
      </c>
      <c r="AI12">
        <v>0.97928035750749642</v>
      </c>
      <c r="AJ12" t="s">
        <v>200</v>
      </c>
      <c r="AL12">
        <v>26.399903558019009</v>
      </c>
      <c r="AM12">
        <v>54.048312750688126</v>
      </c>
      <c r="AN12">
        <v>1004.8277911404076</v>
      </c>
      <c r="AO12">
        <v>19.932716339014895</v>
      </c>
      <c r="AP12">
        <v>54.048312750688126</v>
      </c>
      <c r="AQ12">
        <v>79.886082328144994</v>
      </c>
      <c r="AR12">
        <v>1.0002433715277781</v>
      </c>
      <c r="AS12">
        <v>3000.7301145833339</v>
      </c>
      <c r="AT12">
        <v>33.402242151474418</v>
      </c>
      <c r="AU12">
        <v>2.4980753139146166</v>
      </c>
      <c r="AV12">
        <v>76.2</v>
      </c>
      <c r="AW12">
        <v>0</v>
      </c>
      <c r="AX12">
        <v>266.7</v>
      </c>
      <c r="AY12">
        <v>1004.8277911404076</v>
      </c>
      <c r="AZ12">
        <v>13205.669389514984</v>
      </c>
      <c r="BA12">
        <v>3.8436721167803261</v>
      </c>
      <c r="BB12">
        <v>5677.4159026289699</v>
      </c>
      <c r="BC12">
        <v>474.89859999999999</v>
      </c>
      <c r="BD12">
        <v>359.11556080697966</v>
      </c>
      <c r="BE12">
        <v>1.0479950918598062</v>
      </c>
      <c r="BF12">
        <v>0.98946112824067611</v>
      </c>
      <c r="BG12">
        <v>1.0333559749251555</v>
      </c>
      <c r="BH12">
        <v>-5.307542851410699</v>
      </c>
      <c r="BI12">
        <v>0.99979855517002347</v>
      </c>
      <c r="BJ12">
        <v>1.0014768344242029</v>
      </c>
      <c r="BK12">
        <v>0.99750102073689617</v>
      </c>
      <c r="BL12">
        <v>0.28763642274464285</v>
      </c>
      <c r="BM12">
        <v>1.0002976161902783</v>
      </c>
      <c r="BN12">
        <v>0.9999412820742577</v>
      </c>
      <c r="BO12">
        <v>1.0003354967403737</v>
      </c>
      <c r="BP12">
        <v>-6.2159843034445335E-2</v>
      </c>
      <c r="BQ12">
        <v>0.99991257945019818</v>
      </c>
      <c r="BR12">
        <v>0.99935891596811988</v>
      </c>
      <c r="BS12">
        <v>1.0067690490286303</v>
      </c>
      <c r="BT12">
        <v>0.99778965284671828</v>
      </c>
      <c r="BU12">
        <v>1.0049827056597416</v>
      </c>
      <c r="BV12">
        <v>-0.79188302077520323</v>
      </c>
      <c r="BW12">
        <v>1</v>
      </c>
      <c r="BX12">
        <v>1</v>
      </c>
      <c r="BY12">
        <v>0</v>
      </c>
      <c r="BZ12">
        <v>1.0032312000000001</v>
      </c>
      <c r="CA12">
        <v>7847.5817761243634</v>
      </c>
      <c r="CB12">
        <v>7955.1093271552372</v>
      </c>
      <c r="CC12">
        <v>0.99678560000000005</v>
      </c>
      <c r="CD12">
        <v>-0.83440000000000003</v>
      </c>
      <c r="CE12">
        <v>0.99925529972628047</v>
      </c>
      <c r="CF12">
        <v>1.0000045055841102</v>
      </c>
      <c r="CG12">
        <v>0.99892591633342576</v>
      </c>
      <c r="CH12">
        <v>0.16123040642365943</v>
      </c>
      <c r="CI12">
        <v>0.99509201211669052</v>
      </c>
      <c r="CJ12">
        <v>1.0016392961487157</v>
      </c>
      <c r="CK12">
        <v>0.99668423571248432</v>
      </c>
      <c r="CL12">
        <v>0.45768461019801698</v>
      </c>
      <c r="CM12" t="s">
        <v>372</v>
      </c>
      <c r="CN12" t="s">
        <v>373</v>
      </c>
      <c r="CO12" t="s">
        <v>374</v>
      </c>
      <c r="CP12">
        <v>-5.7714335295066626</v>
      </c>
      <c r="CQ12">
        <v>2.5391580867049533E-2</v>
      </c>
      <c r="CR12">
        <v>-3.7495006989248493E-2</v>
      </c>
      <c r="CS12">
        <v>1.1017869423245662E-2</v>
      </c>
      <c r="CT12">
        <v>-0.84731310553097272</v>
      </c>
      <c r="CU12">
        <v>0</v>
      </c>
      <c r="CV12">
        <v>-0.40589054032106747</v>
      </c>
      <c r="CW12">
        <v>9.3918505431721463E-2</v>
      </c>
      <c r="CX12">
        <v>0.62156472793224238</v>
      </c>
      <c r="CY12">
        <v>106.68705608517244</v>
      </c>
      <c r="CZ12">
        <v>-14.770909859981295</v>
      </c>
      <c r="DA12">
        <v>0.58818311871712059</v>
      </c>
      <c r="DB12">
        <v>6.4255427438420076</v>
      </c>
      <c r="DC12">
        <v>22.189005683582209</v>
      </c>
      <c r="DD12">
        <v>0</v>
      </c>
      <c r="DE12">
        <v>32.300891788082261</v>
      </c>
      <c r="DF12">
        <v>-4.5130016629463289E-2</v>
      </c>
      <c r="DG12">
        <v>-16.393150008322447</v>
      </c>
    </row>
  </sheetData>
  <phoneticPr fontId="4" type="noConversion"/>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3B243D-870A-47C3-8C60-541926CE1D60}">
  <sheetPr codeName="Sheet7"/>
  <dimension ref="Y1:AD127"/>
  <sheetViews>
    <sheetView view="pageBreakPreview" topLeftCell="A57" zoomScale="85" zoomScaleNormal="85" zoomScaleSheetLayoutView="85" workbookViewId="0">
      <selection activeCell="Z89" sqref="Z89"/>
    </sheetView>
  </sheetViews>
  <sheetFormatPr defaultRowHeight="13.2" x14ac:dyDescent="0.25"/>
  <cols>
    <col min="26" max="26" width="11.6640625" bestFit="1" customWidth="1"/>
    <col min="27" max="30" width="19.44140625" customWidth="1"/>
  </cols>
  <sheetData>
    <row r="1" spans="25:30" x14ac:dyDescent="0.25">
      <c r="Z1" t="s">
        <v>298</v>
      </c>
    </row>
    <row r="2" spans="25:30" x14ac:dyDescent="0.25">
      <c r="Z2" s="112">
        <f>MIN(GT1B_Performance!A:A)</f>
        <v>46104</v>
      </c>
      <c r="AA2" s="112">
        <f>MAX(GT1B_Performance!A:A)</f>
        <v>46104</v>
      </c>
    </row>
    <row r="3" spans="25:30" x14ac:dyDescent="0.25">
      <c r="Z3" t="str">
        <f>Z1&amp; " Corrected Heat Rate Vs Corrected Output "</f>
        <v xml:space="preserve">GT-B Corrected Heat Rate Vs Corrected Output </v>
      </c>
    </row>
    <row r="4" spans="25:30" ht="13.8" thickBot="1" x14ac:dyDescent="0.3">
      <c r="Y4" t="s">
        <v>338</v>
      </c>
    </row>
    <row r="5" spans="25:30" x14ac:dyDescent="0.25">
      <c r="Z5" s="103"/>
      <c r="AA5" s="104" t="s">
        <v>334</v>
      </c>
      <c r="AB5" s="104" t="s">
        <v>335</v>
      </c>
      <c r="AC5" s="104" t="s">
        <v>336</v>
      </c>
      <c r="AD5" s="105" t="s">
        <v>337</v>
      </c>
    </row>
    <row r="6" spans="25:30" x14ac:dyDescent="0.25">
      <c r="Y6">
        <f>ROW()</f>
        <v>6</v>
      </c>
      <c r="Z6" s="106" t="s">
        <v>332</v>
      </c>
      <c r="AA6" s="101">
        <f>MIN(GT1B_Performance!N:N)</f>
        <v>10223.050277607492</v>
      </c>
      <c r="AB6" s="101">
        <f>MIN(GT1B_Performance!J:J)</f>
        <v>113.6772529363172</v>
      </c>
      <c r="AC6" s="102">
        <f>MIN(GT1B_Performance!AD:AD)</f>
        <v>0.86315756748944705</v>
      </c>
      <c r="AD6" s="107">
        <f>MIN(GT1B_Performance!AC:AC)</f>
        <v>11.074843873198239</v>
      </c>
    </row>
    <row r="7" spans="25:30" ht="13.8" thickBot="1" x14ac:dyDescent="0.3">
      <c r="Y7">
        <f>ROW()</f>
        <v>7</v>
      </c>
      <c r="Z7" s="108" t="s">
        <v>333</v>
      </c>
      <c r="AA7" s="109">
        <f>MAX(GT1B_Performance!N:N)</f>
        <v>10576.337105252231</v>
      </c>
      <c r="AB7" s="109">
        <f>MAX(GT1B_Performance!J:J)</f>
        <v>115.45275915951372</v>
      </c>
      <c r="AC7" s="110">
        <f>MAX(GT1B_Performance!AD:AD)</f>
        <v>0.87295146632748499</v>
      </c>
      <c r="AD7" s="111">
        <f>MAX(GT1B_Performance!AC:AC)</f>
        <v>11.341693694307766</v>
      </c>
    </row>
    <row r="8" spans="25:30" x14ac:dyDescent="0.25">
      <c r="Z8" t="str" cm="1">
        <f t="array" aca="1" ref="Z8" ca="1">CELL("address")</f>
        <v>'[UCH 1 Heat Rate Analysis Specific Date Only.xlsm]GT_Combined_Summary'!$A$2</v>
      </c>
      <c r="AA8" t="str" cm="1">
        <f t="array" aca="1" ref="AA8" ca="1">CELL("address")</f>
        <v>'[UCH 1 Heat Rate Analysis Specific Date Only.xlsm]GT_Combined_Summary'!$A$2</v>
      </c>
      <c r="AB8" t="str" cm="1">
        <f t="array" aca="1" ref="AB8" ca="1">CELL("address")</f>
        <v>'[UCH 1 Heat Rate Analysis Specific Date Only.xlsm]GT_Combined_Summary'!$A$2</v>
      </c>
      <c r="AC8" t="str" cm="1">
        <f t="array" aca="1" ref="AC8" ca="1">CELL("address")</f>
        <v>'[UCH 1 Heat Rate Analysis Specific Date Only.xlsm]GT_Combined_Summary'!$A$2</v>
      </c>
      <c r="AD8" t="str" cm="1">
        <f t="array" aca="1" ref="AD8" ca="1">CELL("address")</f>
        <v>'[UCH 1 Heat Rate Analysis Specific Date Only.xlsm]GT_Combined_Summary'!$A$2</v>
      </c>
    </row>
    <row r="65" spans="27:27" x14ac:dyDescent="0.25">
      <c r="AA65" t="str">
        <f>Z1&amp; " Compressor Efficieny Vs Corrected Output "</f>
        <v xml:space="preserve">GT-B Compressor Efficieny Vs Corrected Output </v>
      </c>
    </row>
    <row r="127" spans="27:27" x14ac:dyDescent="0.25">
      <c r="AA127" t="str">
        <f>Z1&amp; " Compressor Efficieny Vs Compressor Pressure Ratio "</f>
        <v xml:space="preserve">GT-B Compressor Efficieny Vs Compressor Pressure Ratio </v>
      </c>
    </row>
  </sheetData>
  <dataValidations count="1">
    <dataValidation type="list" allowBlank="1" showInputMessage="1" showErrorMessage="1" sqref="Z1" xr:uid="{5421F083-A2F7-4063-9C22-07D0C42548F1}">
      <formula1>"GT-A,GT-B,GT-C"</formula1>
    </dataValidation>
  </dataValidations>
  <pageMargins left="0.28000000000000003" right="0.27" top="0.73" bottom="0.9" header="0.31496062992125984" footer="0.31496062992125984"/>
  <pageSetup scale="58" fitToHeight="3" orientation="landscape" horizontalDpi="1200" verticalDpi="1200" r:id="rId1"/>
  <rowBreaks count="2" manualBreakCount="2">
    <brk id="62" max="23" man="1"/>
    <brk id="124" max="23" man="1"/>
  </row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76078-6FA5-4A8B-BBE2-4B7CF6CBD631}">
  <sheetPr codeName="Sheet11"/>
  <dimension ref="A1:AT5278"/>
  <sheetViews>
    <sheetView tabSelected="1" workbookViewId="0">
      <pane xSplit="3" ySplit="2" topLeftCell="D35" activePane="bottomRight" state="frozen"/>
      <selection activeCell="J40" sqref="J40"/>
      <selection pane="topRight" activeCell="J40" sqref="J40"/>
      <selection pane="bottomLeft" activeCell="J40" sqref="J40"/>
      <selection pane="bottomRight" activeCell="H39" sqref="H39"/>
    </sheetView>
  </sheetViews>
  <sheetFormatPr defaultColWidth="8.88671875" defaultRowHeight="13.2" x14ac:dyDescent="0.25"/>
  <cols>
    <col min="1" max="1" width="11.5546875" style="65" customWidth="1"/>
    <col min="2" max="2" width="17.33203125" style="65" customWidth="1"/>
    <col min="3" max="3" width="13.6640625" style="66" customWidth="1"/>
    <col min="4" max="4" width="7.5546875" style="65" bestFit="1" customWidth="1"/>
    <col min="5" max="8" width="13.5546875" style="67" customWidth="1"/>
    <col min="9" max="9" width="13.5546875" style="65" customWidth="1"/>
    <col min="10" max="16" width="13.5546875" style="68" customWidth="1"/>
    <col min="17" max="17" width="13.5546875" style="69" customWidth="1"/>
    <col min="18" max="18" width="13.5546875" style="68" customWidth="1"/>
    <col min="19" max="20" width="13.5546875" style="69" customWidth="1"/>
    <col min="21" max="46" width="13.5546875" style="68" customWidth="1"/>
    <col min="47" max="16384" width="8.88671875" style="65"/>
  </cols>
  <sheetData>
    <row r="1" spans="1:46" ht="58.95" customHeight="1" x14ac:dyDescent="0.25"/>
    <row r="2" spans="1:46" s="70" customFormat="1" ht="39.6" x14ac:dyDescent="0.25">
      <c r="A2" s="71" t="s">
        <v>209</v>
      </c>
      <c r="B2" s="71" t="s">
        <v>14</v>
      </c>
      <c r="C2" s="72" t="s">
        <v>0</v>
      </c>
      <c r="D2" s="71" t="s">
        <v>1</v>
      </c>
      <c r="E2" s="73" t="s">
        <v>277</v>
      </c>
      <c r="F2" s="73" t="s">
        <v>278</v>
      </c>
      <c r="G2" s="73" t="s">
        <v>279</v>
      </c>
      <c r="H2" s="73" t="s">
        <v>280</v>
      </c>
      <c r="I2" s="71" t="s">
        <v>204</v>
      </c>
      <c r="J2" s="74" t="s">
        <v>281</v>
      </c>
      <c r="K2" t="s">
        <v>307</v>
      </c>
      <c r="L2" s="74" t="s">
        <v>205</v>
      </c>
      <c r="M2" s="74" t="s">
        <v>206</v>
      </c>
      <c r="N2" s="74" t="s">
        <v>282</v>
      </c>
      <c r="O2" s="74" t="s">
        <v>208</v>
      </c>
      <c r="P2" s="74" t="s">
        <v>207</v>
      </c>
      <c r="Q2" s="74" t="s">
        <v>308</v>
      </c>
      <c r="R2" s="75" t="s">
        <v>283</v>
      </c>
      <c r="S2" s="74" t="s">
        <v>270</v>
      </c>
      <c r="T2" s="74" t="s">
        <v>309</v>
      </c>
      <c r="U2" s="75" t="s">
        <v>316</v>
      </c>
      <c r="V2" s="74" t="s">
        <v>289</v>
      </c>
      <c r="W2" s="75" t="s">
        <v>290</v>
      </c>
      <c r="X2" s="74" t="s">
        <v>284</v>
      </c>
      <c r="Y2" s="74" t="s">
        <v>285</v>
      </c>
      <c r="Z2" t="s">
        <v>300</v>
      </c>
      <c r="AA2" t="s">
        <v>459</v>
      </c>
      <c r="AB2" t="s">
        <v>460</v>
      </c>
      <c r="AC2" t="s">
        <v>461</v>
      </c>
      <c r="AD2" t="s">
        <v>462</v>
      </c>
      <c r="AE2" t="s">
        <v>463</v>
      </c>
      <c r="AF2" t="s">
        <v>464</v>
      </c>
      <c r="AG2" t="s">
        <v>465</v>
      </c>
      <c r="AH2" t="s">
        <v>466</v>
      </c>
      <c r="AI2" t="s">
        <v>467</v>
      </c>
      <c r="AJ2" t="s">
        <v>468</v>
      </c>
      <c r="AK2" t="s">
        <v>469</v>
      </c>
      <c r="AL2" t="s">
        <v>470</v>
      </c>
      <c r="AM2" t="s">
        <v>471</v>
      </c>
      <c r="AN2" t="s">
        <v>472</v>
      </c>
      <c r="AO2" t="s">
        <v>473</v>
      </c>
      <c r="AP2" t="s">
        <v>474</v>
      </c>
      <c r="AQ2" t="s">
        <v>475</v>
      </c>
      <c r="AR2" t="s">
        <v>476</v>
      </c>
    </row>
    <row r="3" spans="1:46" hidden="1" x14ac:dyDescent="0.25">
      <c r="A3" s="65" t="s">
        <v>341</v>
      </c>
      <c r="B3" s="117">
        <v>46104.041666666664</v>
      </c>
      <c r="C3" s="66">
        <v>46104</v>
      </c>
      <c r="D3" s="65">
        <v>1</v>
      </c>
      <c r="E3" s="67">
        <v>19.649310783016418</v>
      </c>
      <c r="F3" s="67">
        <v>87.757826707102438</v>
      </c>
      <c r="G3" s="67">
        <v>1007.3203437113784</v>
      </c>
      <c r="H3" s="67">
        <v>18.248590600511054</v>
      </c>
      <c r="I3" s="65" t="s">
        <v>265</v>
      </c>
      <c r="J3" s="68">
        <v>18.402465092424816</v>
      </c>
      <c r="K3">
        <v>94.8552969468996</v>
      </c>
      <c r="L3" s="68">
        <v>0.89014615921465656</v>
      </c>
      <c r="M3" s="68" t="s">
        <v>200</v>
      </c>
      <c r="N3" s="68">
        <v>553.91964466233992</v>
      </c>
      <c r="O3" s="68">
        <v>1046.9135140781341</v>
      </c>
      <c r="P3" s="68">
        <v>119.0920317057292</v>
      </c>
      <c r="Q3" s="68">
        <v>10634.892254313474</v>
      </c>
      <c r="R3" s="69">
        <v>0.32084387113710983</v>
      </c>
      <c r="S3" s="68">
        <v>112.07655551563391</v>
      </c>
      <c r="T3" s="68">
        <v>10793.888749952084</v>
      </c>
      <c r="U3" s="69">
        <v>0.31611776617719417</v>
      </c>
      <c r="V3" s="68">
        <v>11.05679343712837</v>
      </c>
      <c r="W3" s="69">
        <v>0.84584942129597496</v>
      </c>
      <c r="X3" s="68">
        <v>561.22446976439892</v>
      </c>
      <c r="Y3" s="68">
        <v>422.97704797518458</v>
      </c>
      <c r="Z3"/>
      <c r="AA3">
        <v>-6.5187051015317063</v>
      </c>
      <c r="AB3">
        <v>2.8702492087518128E-2</v>
      </c>
      <c r="AC3">
        <v>-5.8825879930558413E-2</v>
      </c>
      <c r="AD3">
        <v>1.4420369695118628E-2</v>
      </c>
      <c r="AE3">
        <v>-0.59819917556060287</v>
      </c>
      <c r="AF3">
        <v>0</v>
      </c>
      <c r="AG3">
        <v>-0.38357077894663122</v>
      </c>
      <c r="AH3">
        <v>-0.11296966550647056</v>
      </c>
      <c r="AI3">
        <v>0.58738512770002194</v>
      </c>
      <c r="AJ3">
        <v>134.19501597986533</v>
      </c>
      <c r="AK3">
        <v>-20.63516453481547</v>
      </c>
      <c r="AL3">
        <v>1.0139320029816277</v>
      </c>
      <c r="AM3">
        <v>9.7954748280892243</v>
      </c>
      <c r="AN3">
        <v>17.469160227984887</v>
      </c>
      <c r="AO3">
        <v>0</v>
      </c>
      <c r="AP3">
        <v>34.295035624776347</v>
      </c>
      <c r="AQ3">
        <v>3.9403179812052096E-2</v>
      </c>
      <c r="AR3">
        <v>-17.405205627949616</v>
      </c>
      <c r="AS3" s="65"/>
      <c r="AT3" s="65"/>
    </row>
    <row r="4" spans="1:46" hidden="1" x14ac:dyDescent="0.25">
      <c r="A4" s="65" t="s">
        <v>341</v>
      </c>
      <c r="B4" s="117">
        <v>46104.041666666664</v>
      </c>
      <c r="C4" s="66">
        <v>46104</v>
      </c>
      <c r="D4" s="65">
        <v>1</v>
      </c>
      <c r="E4" s="67">
        <v>19.649310783016418</v>
      </c>
      <c r="F4" s="67">
        <v>87.757826707102438</v>
      </c>
      <c r="G4" s="67">
        <v>1007.3203437113784</v>
      </c>
      <c r="H4" s="67">
        <v>18.248590600511054</v>
      </c>
      <c r="I4" s="65" t="s">
        <v>268</v>
      </c>
      <c r="J4" s="68">
        <v>18.5651518519179</v>
      </c>
      <c r="K4">
        <v>93.89358091944321</v>
      </c>
      <c r="L4" s="68">
        <v>0.77400107790220007</v>
      </c>
      <c r="M4" s="68" t="s">
        <v>200</v>
      </c>
      <c r="N4" s="68">
        <v>544.37871079525416</v>
      </c>
      <c r="O4" s="68">
        <v>1036.0109409494496</v>
      </c>
      <c r="P4" s="68">
        <v>121.56802926649306</v>
      </c>
      <c r="Q4" s="68">
        <v>10309.793297920391</v>
      </c>
      <c r="R4" s="69">
        <v>0.33096104852929198</v>
      </c>
      <c r="S4" s="68">
        <v>115.04871027900582</v>
      </c>
      <c r="T4" s="68">
        <v>10446.262311753138</v>
      </c>
      <c r="U4" s="69">
        <v>0.32663740371146771</v>
      </c>
      <c r="V4" s="68">
        <v>11.29853642441409</v>
      </c>
      <c r="W4" s="69">
        <v>0.86372824950762295</v>
      </c>
      <c r="X4" s="68">
        <v>551.02452532161158</v>
      </c>
      <c r="Y4" s="68">
        <v>414.30413282043719</v>
      </c>
      <c r="Z4"/>
      <c r="AA4">
        <v>-6.5396622494657475</v>
      </c>
      <c r="AB4">
        <v>2.9388294459398407E-2</v>
      </c>
      <c r="AC4">
        <v>-6.2318009731951694E-2</v>
      </c>
      <c r="AD4">
        <v>1.4760292749678074E-2</v>
      </c>
      <c r="AE4">
        <v>-5.0856705077679809E-2</v>
      </c>
      <c r="AF4">
        <v>0</v>
      </c>
      <c r="AG4">
        <v>-0.3915454544933451</v>
      </c>
      <c r="AH4">
        <v>-0.11533618535032883</v>
      </c>
      <c r="AI4">
        <v>0.59959723058032111</v>
      </c>
      <c r="AJ4">
        <v>127.93279895192259</v>
      </c>
      <c r="AK4">
        <v>-19.84643101108027</v>
      </c>
      <c r="AL4">
        <v>1.0226465889782288</v>
      </c>
      <c r="AM4">
        <v>9.5245734187587061</v>
      </c>
      <c r="AN4">
        <v>1.4073144510942923</v>
      </c>
      <c r="AO4">
        <v>0</v>
      </c>
      <c r="AP4">
        <v>33.246667665377764</v>
      </c>
      <c r="AQ4">
        <v>3.7500215526784557E-2</v>
      </c>
      <c r="AR4">
        <v>-16.873144366759274</v>
      </c>
      <c r="AS4" s="65"/>
      <c r="AT4" s="65"/>
    </row>
    <row r="5" spans="1:46" hidden="1" x14ac:dyDescent="0.25">
      <c r="A5" s="65" t="s">
        <v>341</v>
      </c>
      <c r="B5" s="117">
        <v>46104.041666666664</v>
      </c>
      <c r="C5" s="66">
        <v>46104</v>
      </c>
      <c r="D5" s="65">
        <v>1</v>
      </c>
      <c r="E5" s="67">
        <v>19.649310783016418</v>
      </c>
      <c r="F5" s="67">
        <v>87.757826707102438</v>
      </c>
      <c r="G5" s="67">
        <v>1007.3203437113784</v>
      </c>
      <c r="H5" s="67">
        <v>18.248590600511054</v>
      </c>
      <c r="I5" s="65" t="s">
        <v>269</v>
      </c>
      <c r="J5" s="68">
        <v>18.861866106615594</v>
      </c>
      <c r="K5">
        <v>92.167677969088231</v>
      </c>
      <c r="L5" s="68">
        <v>0.56217129319317771</v>
      </c>
      <c r="M5" s="68" t="s">
        <v>200</v>
      </c>
      <c r="N5" s="68">
        <v>549.40065302407152</v>
      </c>
      <c r="O5" s="68">
        <v>1044.4844822925493</v>
      </c>
      <c r="P5" s="68">
        <v>127.1142486458333</v>
      </c>
      <c r="Q5" s="68">
        <v>9940.6034685407249</v>
      </c>
      <c r="R5" s="69">
        <v>0.34325280258874469</v>
      </c>
      <c r="S5" s="68">
        <v>119.76505038181918</v>
      </c>
      <c r="T5" s="68">
        <v>10089.265820134155</v>
      </c>
      <c r="U5" s="69">
        <v>0.33819507393597736</v>
      </c>
      <c r="V5" s="68">
        <v>11.423303028100589</v>
      </c>
      <c r="W5" s="69">
        <v>0.86461180335573595</v>
      </c>
      <c r="X5" s="68">
        <v>556.58200452751566</v>
      </c>
      <c r="Y5" s="68">
        <v>420.76974678104784</v>
      </c>
      <c r="Z5"/>
      <c r="AA5">
        <v>-6.618909036430213</v>
      </c>
      <c r="AB5">
        <v>3.0836734316216006E-2</v>
      </c>
      <c r="AC5">
        <v>-6.1968249856459434E-2</v>
      </c>
      <c r="AD5">
        <v>1.5403339758499284E-2</v>
      </c>
      <c r="AE5">
        <v>-0.84880657135891324</v>
      </c>
      <c r="AF5">
        <v>0</v>
      </c>
      <c r="AG5">
        <v>-0.40940867890116328</v>
      </c>
      <c r="AH5">
        <v>-0.12063205799738581</v>
      </c>
      <c r="AI5">
        <v>0.62695226627604161</v>
      </c>
      <c r="AJ5">
        <v>119.55537778546162</v>
      </c>
      <c r="AK5">
        <v>-18.8428934034274</v>
      </c>
      <c r="AL5">
        <v>0.94189515593883721</v>
      </c>
      <c r="AM5">
        <v>9.1635911516031303</v>
      </c>
      <c r="AN5">
        <v>21.745623440754695</v>
      </c>
      <c r="AO5">
        <v>0</v>
      </c>
      <c r="AP5">
        <v>32.056116971669951</v>
      </c>
      <c r="AQ5">
        <v>3.4929112828672816E-2</v>
      </c>
      <c r="AR5">
        <v>-16.268923398418533</v>
      </c>
      <c r="AS5" s="65"/>
      <c r="AT5" s="65"/>
    </row>
    <row r="6" spans="1:46" hidden="1" x14ac:dyDescent="0.25">
      <c r="A6" s="65" t="s">
        <v>341</v>
      </c>
      <c r="B6" s="117">
        <v>46104.041666666664</v>
      </c>
      <c r="C6" s="66">
        <v>46104</v>
      </c>
      <c r="D6" s="65">
        <v>1</v>
      </c>
      <c r="I6" s="65" t="s">
        <v>286</v>
      </c>
      <c r="K6"/>
      <c r="O6" s="68">
        <v>3127.4089373201327</v>
      </c>
      <c r="P6" s="68">
        <v>367.77430961805555</v>
      </c>
      <c r="Q6" s="68"/>
      <c r="R6" s="69"/>
      <c r="S6" s="68">
        <v>346.8903161764589</v>
      </c>
      <c r="T6" s="68"/>
      <c r="U6" s="69"/>
      <c r="W6" s="69"/>
      <c r="Z6"/>
      <c r="AA6">
        <v>-19.677276387427668</v>
      </c>
      <c r="AB6">
        <v>8.8927520863132534E-2</v>
      </c>
      <c r="AC6">
        <v>-0.18311213951896954</v>
      </c>
      <c r="AD6">
        <v>4.4584002203295989E-2</v>
      </c>
      <c r="AE6">
        <v>-1.4978624519971959</v>
      </c>
      <c r="AF6">
        <v>0</v>
      </c>
      <c r="AG6">
        <v>-1.1845249123411397</v>
      </c>
      <c r="AH6">
        <v>-0.34893790885418519</v>
      </c>
      <c r="AI6">
        <v>1.8139346245563848</v>
      </c>
      <c r="AJ6"/>
      <c r="AK6"/>
      <c r="AL6"/>
      <c r="AM6"/>
      <c r="AN6"/>
      <c r="AO6"/>
      <c r="AP6"/>
      <c r="AQ6"/>
      <c r="AR6"/>
      <c r="AS6" s="65"/>
      <c r="AT6" s="65"/>
    </row>
    <row r="7" spans="1:46" hidden="1" x14ac:dyDescent="0.25">
      <c r="A7" s="65" t="s">
        <v>341</v>
      </c>
      <c r="B7" s="117">
        <v>46104.083333333336</v>
      </c>
      <c r="C7" s="66">
        <v>46104</v>
      </c>
      <c r="D7" s="65">
        <v>2</v>
      </c>
      <c r="E7" s="67">
        <v>19.485763191843027</v>
      </c>
      <c r="F7" s="67">
        <v>87.099270438209118</v>
      </c>
      <c r="G7" s="67">
        <v>1006.6657649723137</v>
      </c>
      <c r="H7" s="67">
        <v>18.013526850741286</v>
      </c>
      <c r="I7" s="65" t="s">
        <v>265</v>
      </c>
      <c r="J7" s="68">
        <v>18.187876656521691</v>
      </c>
      <c r="K7">
        <v>94.454973266544329</v>
      </c>
      <c r="L7" s="68">
        <v>0.88157485254715862</v>
      </c>
      <c r="M7" s="68" t="s">
        <v>200</v>
      </c>
      <c r="N7" s="68">
        <v>553.73905378904567</v>
      </c>
      <c r="O7" s="68">
        <v>1064.2200447601836</v>
      </c>
      <c r="P7" s="68">
        <v>119.36985973958332</v>
      </c>
      <c r="Q7" s="68">
        <v>10785.536274957105</v>
      </c>
      <c r="R7" s="69">
        <v>0.31636257233890491</v>
      </c>
      <c r="S7" s="68">
        <v>112.26727508643707</v>
      </c>
      <c r="T7" s="68">
        <v>10950.011931211862</v>
      </c>
      <c r="U7" s="69">
        <v>0.31161061937056456</v>
      </c>
      <c r="V7" s="68">
        <v>11.077868196234975</v>
      </c>
      <c r="W7" s="69">
        <v>0.84592384858651004</v>
      </c>
      <c r="X7" s="68">
        <v>561.0515328908557</v>
      </c>
      <c r="Y7" s="68">
        <v>423.19050629641907</v>
      </c>
      <c r="Z7"/>
      <c r="AA7">
        <v>-6.6819597467485208</v>
      </c>
      <c r="AB7">
        <v>2.7655661065898524E-2</v>
      </c>
      <c r="AC7">
        <v>-2.3245069522075494E-2</v>
      </c>
      <c r="AD7">
        <v>1.4696559718191777E-2</v>
      </c>
      <c r="AE7">
        <v>-0.60547378569263577</v>
      </c>
      <c r="AF7">
        <v>0</v>
      </c>
      <c r="AG7">
        <v>-0.38446560552597747</v>
      </c>
      <c r="AH7">
        <v>-6.0692963393318658E-2</v>
      </c>
      <c r="AI7">
        <v>0.58875542974967787</v>
      </c>
      <c r="AJ7">
        <v>139.07789801198822</v>
      </c>
      <c r="AK7">
        <v>-20.38597177638324</v>
      </c>
      <c r="AL7">
        <v>0.40389645801559493</v>
      </c>
      <c r="AM7">
        <v>10.118065173565602</v>
      </c>
      <c r="AN7">
        <v>17.867573920601501</v>
      </c>
      <c r="AO7">
        <v>0</v>
      </c>
      <c r="AP7">
        <v>34.780827293473074</v>
      </c>
      <c r="AQ7">
        <v>2.1930618322822008E-2</v>
      </c>
      <c r="AR7">
        <v>-17.651751628907927</v>
      </c>
      <c r="AS7" s="65"/>
      <c r="AT7" s="65"/>
    </row>
    <row r="8" spans="1:46" hidden="1" x14ac:dyDescent="0.25">
      <c r="A8" s="65" t="s">
        <v>341</v>
      </c>
      <c r="B8" s="117">
        <v>46104.083333333336</v>
      </c>
      <c r="C8" s="66">
        <v>46104</v>
      </c>
      <c r="D8" s="65">
        <v>2</v>
      </c>
      <c r="E8" s="67">
        <v>19.485763191843027</v>
      </c>
      <c r="F8" s="67">
        <v>87.099270438209118</v>
      </c>
      <c r="G8" s="67">
        <v>1006.6657649723137</v>
      </c>
      <c r="H8" s="67">
        <v>18.013526850741286</v>
      </c>
      <c r="I8" s="65" t="s">
        <v>268</v>
      </c>
      <c r="J8" s="68">
        <v>18.267394237475393</v>
      </c>
      <c r="K8">
        <v>93.984733863868414</v>
      </c>
      <c r="L8" s="68">
        <v>0.82756342874668687</v>
      </c>
      <c r="M8" s="68" t="s">
        <v>200</v>
      </c>
      <c r="N8" s="68">
        <v>544.12001064471781</v>
      </c>
      <c r="O8" s="68">
        <v>1053.2439727395986</v>
      </c>
      <c r="P8" s="68">
        <v>122.11004959635417</v>
      </c>
      <c r="Q8" s="68">
        <v>10434.762472080867</v>
      </c>
      <c r="R8" s="69">
        <v>0.32699738102611181</v>
      </c>
      <c r="S8" s="68">
        <v>115.45275915951372</v>
      </c>
      <c r="T8" s="68">
        <v>10576.337105252231</v>
      </c>
      <c r="U8" s="69">
        <v>0.32262020074090908</v>
      </c>
      <c r="V8" s="68">
        <v>11.320206974164828</v>
      </c>
      <c r="W8" s="69">
        <v>0.86323086084948197</v>
      </c>
      <c r="X8" s="68">
        <v>550.80922851988146</v>
      </c>
      <c r="Y8" s="68">
        <v>414.49075730412233</v>
      </c>
      <c r="Z8"/>
      <c r="AA8">
        <v>-6.7792740482741323</v>
      </c>
      <c r="AB8">
        <v>2.8344593257945416E-2</v>
      </c>
      <c r="AC8">
        <v>-2.9566180077077068E-2</v>
      </c>
      <c r="AD8">
        <v>1.5081226311408841E-2</v>
      </c>
      <c r="AE8">
        <v>-2.9520178614628786E-2</v>
      </c>
      <c r="AF8">
        <v>0</v>
      </c>
      <c r="AG8">
        <v>-0.39329118976338784</v>
      </c>
      <c r="AH8">
        <v>-6.209088798527438E-2</v>
      </c>
      <c r="AI8">
        <v>0.60227058056110039</v>
      </c>
      <c r="AJ8">
        <v>133.48546998931209</v>
      </c>
      <c r="AK8">
        <v>-19.648592741450976</v>
      </c>
      <c r="AL8">
        <v>0.4864966476202261</v>
      </c>
      <c r="AM8">
        <v>9.822906236061435</v>
      </c>
      <c r="AN8">
        <v>0.82141605360454173</v>
      </c>
      <c r="AO8">
        <v>0</v>
      </c>
      <c r="AP8">
        <v>33.649663970121154</v>
      </c>
      <c r="AQ8">
        <v>2.1032222050389765E-2</v>
      </c>
      <c r="AR8">
        <v>-17.07767057364547</v>
      </c>
      <c r="AS8" s="65"/>
      <c r="AT8" s="65"/>
    </row>
    <row r="9" spans="1:46" hidden="1" x14ac:dyDescent="0.25">
      <c r="A9" s="65" t="s">
        <v>341</v>
      </c>
      <c r="B9" s="117">
        <v>46104.083333333336</v>
      </c>
      <c r="C9" s="66">
        <v>46104</v>
      </c>
      <c r="D9" s="65">
        <v>2</v>
      </c>
      <c r="E9" s="67">
        <v>19.485763191843027</v>
      </c>
      <c r="F9" s="67">
        <v>87.099270438209118</v>
      </c>
      <c r="G9" s="67">
        <v>1006.6657649723137</v>
      </c>
      <c r="H9" s="67">
        <v>18.013526850741286</v>
      </c>
      <c r="I9" s="65" t="s">
        <v>269</v>
      </c>
      <c r="J9" s="68">
        <v>18.66243783261935</v>
      </c>
      <c r="K9">
        <v>91.687275270831734</v>
      </c>
      <c r="L9" s="68">
        <v>0.5592345034816526</v>
      </c>
      <c r="M9" s="68" t="s">
        <v>200</v>
      </c>
      <c r="N9" s="68">
        <v>549.15864791556453</v>
      </c>
      <c r="O9" s="68">
        <v>1061.8307916427598</v>
      </c>
      <c r="P9" s="68">
        <v>127.49096088975692</v>
      </c>
      <c r="Q9" s="68">
        <v>10075.831903108699</v>
      </c>
      <c r="R9" s="69">
        <v>0.33864598306242599</v>
      </c>
      <c r="S9" s="68">
        <v>120.0573038560003</v>
      </c>
      <c r="T9" s="68">
        <v>10229.181796503701</v>
      </c>
      <c r="U9" s="69">
        <v>0.33356920112283639</v>
      </c>
      <c r="V9" s="68">
        <v>11.447555285080648</v>
      </c>
      <c r="W9" s="69">
        <v>0.86497636743575201</v>
      </c>
      <c r="X9" s="68">
        <v>556.33930468727806</v>
      </c>
      <c r="Y9" s="68">
        <v>421.01968412340892</v>
      </c>
      <c r="Z9"/>
      <c r="AA9">
        <v>-6.786316570288049</v>
      </c>
      <c r="AB9">
        <v>2.9787608642651509E-2</v>
      </c>
      <c r="AC9">
        <v>-2.9055351378290586E-2</v>
      </c>
      <c r="AD9">
        <v>1.5664646496033025E-2</v>
      </c>
      <c r="AE9">
        <v>-0.85022916761337242</v>
      </c>
      <c r="AF9">
        <v>0</v>
      </c>
      <c r="AG9">
        <v>-0.41062199104951552</v>
      </c>
      <c r="AH9">
        <v>-6.4851315649397723E-2</v>
      </c>
      <c r="AI9">
        <v>0.62881028453581911</v>
      </c>
      <c r="AJ9">
        <v>123.7676643267705</v>
      </c>
      <c r="AK9">
        <v>-18.59461703131209</v>
      </c>
      <c r="AL9">
        <v>0.44483949178004961</v>
      </c>
      <c r="AM9">
        <v>9.4312217403655776</v>
      </c>
      <c r="AN9">
        <v>21.989489599033945</v>
      </c>
      <c r="AO9">
        <v>0</v>
      </c>
      <c r="AP9">
        <v>32.492196987347633</v>
      </c>
      <c r="AQ9">
        <v>1.94205531904812E-2</v>
      </c>
      <c r="AR9">
        <v>-16.490240046873218</v>
      </c>
      <c r="AS9" s="65"/>
      <c r="AT9" s="65"/>
    </row>
    <row r="10" spans="1:46" hidden="1" x14ac:dyDescent="0.25">
      <c r="A10" s="65" t="s">
        <v>341</v>
      </c>
      <c r="B10" s="117">
        <v>46104.083333333336</v>
      </c>
      <c r="C10" s="66">
        <v>46104</v>
      </c>
      <c r="D10" s="65">
        <v>2</v>
      </c>
      <c r="I10" s="65" t="s">
        <v>286</v>
      </c>
      <c r="K10"/>
      <c r="O10" s="68">
        <v>3179.2948091425419</v>
      </c>
      <c r="P10" s="68">
        <v>368.9708702256944</v>
      </c>
      <c r="Q10" s="68"/>
      <c r="R10" s="69"/>
      <c r="S10" s="68">
        <v>347.7773381019511</v>
      </c>
      <c r="T10" s="68"/>
      <c r="U10" s="69"/>
      <c r="W10" s="69"/>
      <c r="Z10"/>
      <c r="AA10">
        <v>-20.247550365310701</v>
      </c>
      <c r="AB10">
        <v>8.5787862966495446E-2</v>
      </c>
      <c r="AC10">
        <v>-8.1866600977443152E-2</v>
      </c>
      <c r="AD10">
        <v>4.5442432525633639E-2</v>
      </c>
      <c r="AE10">
        <v>-1.485223131920637</v>
      </c>
      <c r="AF10">
        <v>0</v>
      </c>
      <c r="AG10">
        <v>-1.1883787863388808</v>
      </c>
      <c r="AH10">
        <v>-0.18763516702799077</v>
      </c>
      <c r="AI10">
        <v>1.8198362948465974</v>
      </c>
      <c r="AJ10"/>
      <c r="AK10"/>
      <c r="AL10"/>
      <c r="AM10"/>
      <c r="AN10"/>
      <c r="AO10"/>
      <c r="AP10"/>
      <c r="AQ10"/>
      <c r="AR10"/>
      <c r="AS10" s="65"/>
      <c r="AT10" s="65"/>
    </row>
    <row r="11" spans="1:46" hidden="1" x14ac:dyDescent="0.25">
      <c r="A11" s="65" t="s">
        <v>341</v>
      </c>
      <c r="B11" s="117">
        <v>46104.125</v>
      </c>
      <c r="C11" s="66">
        <v>46104</v>
      </c>
      <c r="D11" s="65">
        <v>3</v>
      </c>
      <c r="E11" s="67">
        <v>19.870079228246482</v>
      </c>
      <c r="F11" s="67">
        <v>84.008573936337356</v>
      </c>
      <c r="G11" s="67">
        <v>1005.7078043023175</v>
      </c>
      <c r="H11" s="67">
        <v>18.014029798908094</v>
      </c>
      <c r="I11" s="65" t="s">
        <v>265</v>
      </c>
      <c r="J11" s="68">
        <v>18.106624310775331</v>
      </c>
      <c r="K11">
        <v>93.779521883828949</v>
      </c>
      <c r="L11" s="68">
        <v>0.95011204421412254</v>
      </c>
      <c r="M11" s="68" t="s">
        <v>200</v>
      </c>
      <c r="N11" s="68">
        <v>554.3882334120517</v>
      </c>
      <c r="O11" s="68">
        <v>1052.7074242213903</v>
      </c>
      <c r="P11" s="68">
        <v>118.94691572048609</v>
      </c>
      <c r="Q11" s="68">
        <v>10706.795142317202</v>
      </c>
      <c r="R11" s="69">
        <v>0.31868920201097006</v>
      </c>
      <c r="S11" s="68">
        <v>112.16385139539506</v>
      </c>
      <c r="T11" s="68">
        <v>10866.838578454437</v>
      </c>
      <c r="U11" s="69">
        <v>0.31399564605341729</v>
      </c>
      <c r="V11" s="68">
        <v>11.035451305166331</v>
      </c>
      <c r="W11" s="69">
        <v>0.84590853166158597</v>
      </c>
      <c r="X11" s="68">
        <v>561.09918277428403</v>
      </c>
      <c r="Y11" s="68">
        <v>424.0398507821792</v>
      </c>
      <c r="Z11"/>
      <c r="AA11">
        <v>-6.7140420392177091</v>
      </c>
      <c r="AB11">
        <v>2.6847537805947237E-2</v>
      </c>
      <c r="AC11">
        <v>0.28507249544096669</v>
      </c>
      <c r="AD11">
        <v>1.5348410809133578E-2</v>
      </c>
      <c r="AE11">
        <v>-0.61652255025998803</v>
      </c>
      <c r="AF11">
        <v>0</v>
      </c>
      <c r="AG11">
        <v>-0.38310339040098235</v>
      </c>
      <c r="AH11">
        <v>1.6524105112783745E-2</v>
      </c>
      <c r="AI11">
        <v>0.58666938735784724</v>
      </c>
      <c r="AJ11">
        <v>139.18383397076209</v>
      </c>
      <c r="AK11">
        <v>-19.805571433141075</v>
      </c>
      <c r="AL11">
        <v>-5.1967320041090828</v>
      </c>
      <c r="AM11">
        <v>10.575745376775377</v>
      </c>
      <c r="AN11">
        <v>18.114890328808428</v>
      </c>
      <c r="AO11">
        <v>0</v>
      </c>
      <c r="AP11">
        <v>34.526905590794293</v>
      </c>
      <c r="AQ11">
        <v>-1.018026156445629E-2</v>
      </c>
      <c r="AR11">
        <v>-17.52288284752283</v>
      </c>
      <c r="AS11" s="65"/>
      <c r="AT11" s="65"/>
    </row>
    <row r="12" spans="1:46" hidden="1" x14ac:dyDescent="0.25">
      <c r="A12" s="65" t="s">
        <v>341</v>
      </c>
      <c r="B12" s="117">
        <v>46104.125</v>
      </c>
      <c r="C12" s="66">
        <v>46104</v>
      </c>
      <c r="D12" s="65">
        <v>3</v>
      </c>
      <c r="E12" s="67">
        <v>19.870079228246482</v>
      </c>
      <c r="F12" s="67">
        <v>84.008573936337356</v>
      </c>
      <c r="G12" s="67">
        <v>1005.7078043023175</v>
      </c>
      <c r="H12" s="67">
        <v>18.014029798908094</v>
      </c>
      <c r="I12" s="65" t="s">
        <v>268</v>
      </c>
      <c r="J12" s="68">
        <v>18.223251406364973</v>
      </c>
      <c r="K12">
        <v>93.095223316460263</v>
      </c>
      <c r="L12" s="68">
        <v>0.88727584290066097</v>
      </c>
      <c r="M12" s="68" t="s">
        <v>200</v>
      </c>
      <c r="N12" s="68">
        <v>544.90301029983516</v>
      </c>
      <c r="O12" s="68">
        <v>1041.9981870034399</v>
      </c>
      <c r="P12" s="68">
        <v>121.51912255208335</v>
      </c>
      <c r="Q12" s="68">
        <v>10373.548244513551</v>
      </c>
      <c r="R12" s="69">
        <v>0.3289269900301125</v>
      </c>
      <c r="S12" s="68">
        <v>115.25459120037677</v>
      </c>
      <c r="T12" s="68">
        <v>10509.787171335267</v>
      </c>
      <c r="U12" s="69">
        <v>0.32466309206587746</v>
      </c>
      <c r="V12" s="68">
        <v>11.278996310212673</v>
      </c>
      <c r="W12" s="69">
        <v>0.86360774044199196</v>
      </c>
      <c r="X12" s="68">
        <v>550.92734777900591</v>
      </c>
      <c r="Y12" s="68">
        <v>415.47005426966348</v>
      </c>
      <c r="Z12"/>
      <c r="AA12">
        <v>-6.7774512308963129</v>
      </c>
      <c r="AB12">
        <v>2.7505550542558356E-2</v>
      </c>
      <c r="AC12">
        <v>0.29170943591762882</v>
      </c>
      <c r="AD12">
        <v>1.5671126949657596E-2</v>
      </c>
      <c r="AE12">
        <v>-1.5270763470429485E-2</v>
      </c>
      <c r="AF12">
        <v>0</v>
      </c>
      <c r="AG12">
        <v>-0.39138793609120542</v>
      </c>
      <c r="AH12">
        <v>1.6883269786796957E-2</v>
      </c>
      <c r="AI12">
        <v>0.59935601312624387</v>
      </c>
      <c r="AJ12">
        <v>133.29246231945319</v>
      </c>
      <c r="AK12">
        <v>-19.081281508048733</v>
      </c>
      <c r="AL12">
        <v>-5.0477306863576832</v>
      </c>
      <c r="AM12">
        <v>10.239995372135015</v>
      </c>
      <c r="AN12">
        <v>0.42429805314467645</v>
      </c>
      <c r="AO12">
        <v>0</v>
      </c>
      <c r="AP12">
        <v>33.452262429516658</v>
      </c>
      <c r="AQ12">
        <v>-9.791175888701811E-3</v>
      </c>
      <c r="AR12">
        <v>-16.977486557419724</v>
      </c>
      <c r="AS12" s="65"/>
      <c r="AT12" s="65"/>
    </row>
    <row r="13" spans="1:46" hidden="1" x14ac:dyDescent="0.25">
      <c r="A13" s="65" t="s">
        <v>341</v>
      </c>
      <c r="B13" s="117">
        <v>46104.125</v>
      </c>
      <c r="C13" s="66">
        <v>46104</v>
      </c>
      <c r="D13" s="65">
        <v>3</v>
      </c>
      <c r="E13" s="67">
        <v>19.870079228246482</v>
      </c>
      <c r="F13" s="67">
        <v>84.008573936337356</v>
      </c>
      <c r="G13" s="67">
        <v>1005.7078043023175</v>
      </c>
      <c r="H13" s="67">
        <v>18.014029798908094</v>
      </c>
      <c r="I13" s="65" t="s">
        <v>269</v>
      </c>
      <c r="J13" s="68">
        <v>18.534800209621849</v>
      </c>
      <c r="K13">
        <v>91.294614797001245</v>
      </c>
      <c r="L13" s="68">
        <v>0.71941996668731478</v>
      </c>
      <c r="M13" s="68" t="s">
        <v>200</v>
      </c>
      <c r="N13" s="68">
        <v>549.85245563098465</v>
      </c>
      <c r="O13" s="68">
        <v>1051.0525863126279</v>
      </c>
      <c r="P13" s="68">
        <v>126.95202023871528</v>
      </c>
      <c r="Q13" s="68">
        <v>10015.896349841725</v>
      </c>
      <c r="R13" s="69">
        <v>0.34067245514715411</v>
      </c>
      <c r="S13" s="68">
        <v>119.8491773615031</v>
      </c>
      <c r="T13" s="68">
        <v>10165.293972407851</v>
      </c>
      <c r="U13" s="69">
        <v>0.33566564914519309</v>
      </c>
      <c r="V13" s="68">
        <v>11.408438242932149</v>
      </c>
      <c r="W13" s="69">
        <v>0.86491760357792302</v>
      </c>
      <c r="X13" s="68">
        <v>556.44393489447395</v>
      </c>
      <c r="Y13" s="68">
        <v>421.95933678007805</v>
      </c>
      <c r="Z13"/>
      <c r="AA13">
        <v>-6.8516297022831916</v>
      </c>
      <c r="AB13">
        <v>2.889023056155644E-2</v>
      </c>
      <c r="AC13">
        <v>0.30547490010804118</v>
      </c>
      <c r="AD13">
        <v>1.6243880457499294E-2</v>
      </c>
      <c r="AE13">
        <v>-0.84593847607044459</v>
      </c>
      <c r="AF13">
        <v>0</v>
      </c>
      <c r="AG13">
        <v>-0.40888617478737599</v>
      </c>
      <c r="AH13">
        <v>1.7643207330713982E-2</v>
      </c>
      <c r="AI13">
        <v>0.62615212413162813</v>
      </c>
      <c r="AJ13">
        <v>124.67729872383831</v>
      </c>
      <c r="AK13">
        <v>-18.130187971243995</v>
      </c>
      <c r="AL13">
        <v>-4.8970211322027897</v>
      </c>
      <c r="AM13">
        <v>9.802311319250002</v>
      </c>
      <c r="AN13">
        <v>21.825633151112541</v>
      </c>
      <c r="AO13">
        <v>0</v>
      </c>
      <c r="AP13">
        <v>32.298918871751503</v>
      </c>
      <c r="AQ13">
        <v>-9.2673128898169161E-3</v>
      </c>
      <c r="AR13">
        <v>-16.392148725956119</v>
      </c>
      <c r="AS13" s="65"/>
      <c r="AT13" s="65"/>
    </row>
    <row r="14" spans="1:46" hidden="1" x14ac:dyDescent="0.25">
      <c r="A14" s="65" t="s">
        <v>341</v>
      </c>
      <c r="B14" s="117">
        <v>46104.125</v>
      </c>
      <c r="C14" s="66">
        <v>46104</v>
      </c>
      <c r="D14" s="65">
        <v>3</v>
      </c>
      <c r="I14" s="65" t="s">
        <v>286</v>
      </c>
      <c r="K14"/>
      <c r="O14" s="68">
        <v>3145.7581975374578</v>
      </c>
      <c r="P14" s="68">
        <v>367.4180585112847</v>
      </c>
      <c r="Q14" s="68"/>
      <c r="R14" s="69"/>
      <c r="S14" s="68">
        <v>347.26761995727492</v>
      </c>
      <c r="T14" s="68"/>
      <c r="U14" s="69"/>
      <c r="W14" s="69"/>
      <c r="Z14"/>
      <c r="AA14">
        <v>-20.343122972397214</v>
      </c>
      <c r="AB14">
        <v>8.3243318910062036E-2</v>
      </c>
      <c r="AC14">
        <v>0.8822568314666368</v>
      </c>
      <c r="AD14">
        <v>4.7263418216290473E-2</v>
      </c>
      <c r="AE14">
        <v>-1.477731789800862</v>
      </c>
      <c r="AF14">
        <v>0</v>
      </c>
      <c r="AG14">
        <v>-1.1833775012795638</v>
      </c>
      <c r="AH14">
        <v>5.1050582230294683E-2</v>
      </c>
      <c r="AI14">
        <v>1.8121775246157192</v>
      </c>
      <c r="AJ14"/>
      <c r="AK14"/>
      <c r="AL14"/>
      <c r="AM14"/>
      <c r="AN14"/>
      <c r="AO14"/>
      <c r="AP14"/>
      <c r="AQ14"/>
      <c r="AR14"/>
      <c r="AS14" s="65"/>
      <c r="AT14" s="65"/>
    </row>
    <row r="15" spans="1:46" hidden="1" x14ac:dyDescent="0.25">
      <c r="A15" s="65" t="s">
        <v>341</v>
      </c>
      <c r="B15" s="117">
        <v>46104.166666666664</v>
      </c>
      <c r="C15" s="66">
        <v>46104</v>
      </c>
      <c r="D15" s="65">
        <v>4</v>
      </c>
      <c r="E15" s="67">
        <v>19.376924617103999</v>
      </c>
      <c r="F15" s="67">
        <v>87.171115826780607</v>
      </c>
      <c r="G15" s="67">
        <v>1005.4872440404083</v>
      </c>
      <c r="H15" s="67">
        <v>17.916704712600517</v>
      </c>
      <c r="I15" s="65" t="s">
        <v>265</v>
      </c>
      <c r="J15" s="68">
        <v>18.046924333983529</v>
      </c>
      <c r="K15">
        <v>94.730396507330695</v>
      </c>
      <c r="L15" s="68">
        <v>0.9108219104660874</v>
      </c>
      <c r="M15" s="68" t="s">
        <v>200</v>
      </c>
      <c r="N15" s="68">
        <v>554.03362579745817</v>
      </c>
      <c r="O15" s="68">
        <v>1045.3786062791221</v>
      </c>
      <c r="P15" s="68">
        <v>119.13252491319442</v>
      </c>
      <c r="Q15" s="68">
        <v>10615.690649730996</v>
      </c>
      <c r="R15" s="69">
        <v>0.32142421181861253</v>
      </c>
      <c r="S15" s="68">
        <v>112.04532135026884</v>
      </c>
      <c r="T15" s="68">
        <v>10780.070963335274</v>
      </c>
      <c r="U15" s="69">
        <v>0.31652296275277103</v>
      </c>
      <c r="V15" s="68">
        <v>11.067386031409919</v>
      </c>
      <c r="W15" s="69">
        <v>0.84551150705685696</v>
      </c>
      <c r="X15" s="68">
        <v>561.25905341759744</v>
      </c>
      <c r="Y15" s="68">
        <v>422.70097984055758</v>
      </c>
      <c r="Z15"/>
      <c r="AA15">
        <v>-6.7655151032637288</v>
      </c>
      <c r="AB15">
        <v>2.7179088109508566E-2</v>
      </c>
      <c r="AC15">
        <v>-1.6536253303126251E-2</v>
      </c>
      <c r="AD15">
        <v>1.5548605134926367E-2</v>
      </c>
      <c r="AE15">
        <v>-0.60262434996073466</v>
      </c>
      <c r="AF15">
        <v>0</v>
      </c>
      <c r="AG15">
        <v>-0.38370119918471951</v>
      </c>
      <c r="AH15">
        <v>3.4606254930971012E-2</v>
      </c>
      <c r="AI15">
        <v>0.58758484809690548</v>
      </c>
      <c r="AJ15">
        <v>138.81651629613486</v>
      </c>
      <c r="AK15">
        <v>-19.951054093766505</v>
      </c>
      <c r="AL15">
        <v>0.28272253042061862</v>
      </c>
      <c r="AM15">
        <v>10.61751111161934</v>
      </c>
      <c r="AN15">
        <v>17.524392673620696</v>
      </c>
      <c r="AO15">
        <v>0</v>
      </c>
      <c r="AP15">
        <v>34.233114949186813</v>
      </c>
      <c r="AQ15">
        <v>-2.1183120968827587E-2</v>
      </c>
      <c r="AR15">
        <v>-17.373780027374391</v>
      </c>
      <c r="AS15" s="65"/>
      <c r="AT15" s="65"/>
    </row>
    <row r="16" spans="1:46" hidden="1" x14ac:dyDescent="0.25">
      <c r="A16" s="65" t="s">
        <v>341</v>
      </c>
      <c r="B16" s="117">
        <v>46104.166666666664</v>
      </c>
      <c r="C16" s="66">
        <v>46104</v>
      </c>
      <c r="D16" s="65">
        <v>4</v>
      </c>
      <c r="E16" s="67">
        <v>19.376924617103999</v>
      </c>
      <c r="F16" s="67">
        <v>87.171115826780607</v>
      </c>
      <c r="G16" s="67">
        <v>1005.4872440404083</v>
      </c>
      <c r="H16" s="67">
        <v>17.916704712600517</v>
      </c>
      <c r="I16" s="65" t="s">
        <v>268</v>
      </c>
      <c r="J16" s="68">
        <v>18.30408954752922</v>
      </c>
      <c r="K16">
        <v>93.21302624626513</v>
      </c>
      <c r="L16" s="68">
        <v>0.73470787945434479</v>
      </c>
      <c r="M16" s="68" t="s">
        <v>200</v>
      </c>
      <c r="N16" s="68">
        <v>544.61868492260385</v>
      </c>
      <c r="O16" s="68">
        <v>1034.0774396425088</v>
      </c>
      <c r="P16" s="68">
        <v>121.67575049913198</v>
      </c>
      <c r="Q16" s="68">
        <v>10281.4418206791</v>
      </c>
      <c r="R16" s="69">
        <v>0.33187368654240212</v>
      </c>
      <c r="S16" s="68">
        <v>115.21009562936088</v>
      </c>
      <c r="T16" s="68">
        <v>10420.002632211883</v>
      </c>
      <c r="U16" s="69">
        <v>0.32746056987086342</v>
      </c>
      <c r="V16" s="68">
        <v>11.303218544550678</v>
      </c>
      <c r="W16" s="69">
        <v>0.863542583835467</v>
      </c>
      <c r="X16" s="68">
        <v>551.04919430703796</v>
      </c>
      <c r="Y16" s="68">
        <v>414.29585441340049</v>
      </c>
      <c r="Z16"/>
      <c r="AA16">
        <v>-6.7293601319424745</v>
      </c>
      <c r="AB16">
        <v>2.7937066655015993E-2</v>
      </c>
      <c r="AC16">
        <v>-1.5500711644646167E-2</v>
      </c>
      <c r="AD16">
        <v>1.5891450407330036E-2</v>
      </c>
      <c r="AE16">
        <v>9.0246325677396724E-3</v>
      </c>
      <c r="AF16">
        <v>0</v>
      </c>
      <c r="AG16">
        <v>-0.39189240228255151</v>
      </c>
      <c r="AH16">
        <v>3.5353492185857788E-2</v>
      </c>
      <c r="AI16">
        <v>0.60012853270929956</v>
      </c>
      <c r="AJ16">
        <v>131.03802360747306</v>
      </c>
      <c r="AK16">
        <v>-19.087851118510738</v>
      </c>
      <c r="AL16">
        <v>0.25231468157365833</v>
      </c>
      <c r="AM16">
        <v>10.290943178887472</v>
      </c>
      <c r="AN16">
        <v>-0.24826140204540195</v>
      </c>
      <c r="AO16">
        <v>0</v>
      </c>
      <c r="AP16">
        <v>33.15524079439929</v>
      </c>
      <c r="AQ16">
        <v>-2.0186110766125368E-2</v>
      </c>
      <c r="AR16">
        <v>-16.826743963309895</v>
      </c>
      <c r="AS16" s="65"/>
      <c r="AT16" s="65"/>
    </row>
    <row r="17" spans="1:46" hidden="1" x14ac:dyDescent="0.25">
      <c r="A17" s="65" t="s">
        <v>341</v>
      </c>
      <c r="B17" s="117">
        <v>46104.166666666664</v>
      </c>
      <c r="C17" s="66">
        <v>46104</v>
      </c>
      <c r="D17" s="65">
        <v>4</v>
      </c>
      <c r="E17" s="67">
        <v>19.376924617103999</v>
      </c>
      <c r="F17" s="67">
        <v>87.171115826780607</v>
      </c>
      <c r="G17" s="67">
        <v>1005.4872440404083</v>
      </c>
      <c r="H17" s="67">
        <v>17.916704712600517</v>
      </c>
      <c r="I17" s="65" t="s">
        <v>269</v>
      </c>
      <c r="J17" s="68">
        <v>18.608347420516544</v>
      </c>
      <c r="K17">
        <v>91.452982483460744</v>
      </c>
      <c r="L17" s="68">
        <v>0.52634345978785524</v>
      </c>
      <c r="M17" s="68" t="s">
        <v>200</v>
      </c>
      <c r="N17" s="68">
        <v>549.54252028528856</v>
      </c>
      <c r="O17" s="68">
        <v>1042.7739650743913</v>
      </c>
      <c r="P17" s="68">
        <v>127.14836923611108</v>
      </c>
      <c r="Q17" s="68">
        <v>9921.6608577558745</v>
      </c>
      <c r="R17" s="69">
        <v>0.34390814692407989</v>
      </c>
      <c r="S17" s="68">
        <v>119.80098215268016</v>
      </c>
      <c r="T17" s="68">
        <v>10073.98586541708</v>
      </c>
      <c r="U17" s="69">
        <v>0.33870803925916881</v>
      </c>
      <c r="V17" s="68">
        <v>11.432366944924514</v>
      </c>
      <c r="W17" s="69">
        <v>0.86467712592472101</v>
      </c>
      <c r="X17" s="68">
        <v>556.57264797784717</v>
      </c>
      <c r="Y17" s="68">
        <v>420.62298612486779</v>
      </c>
      <c r="Z17"/>
      <c r="AA17">
        <v>-6.8079958630919206</v>
      </c>
      <c r="AB17">
        <v>2.9334716338243041E-2</v>
      </c>
      <c r="AC17">
        <v>-1.8985500657667007E-2</v>
      </c>
      <c r="AD17">
        <v>1.6608128336503315E-2</v>
      </c>
      <c r="AE17">
        <v>-0.84764881351120969</v>
      </c>
      <c r="AF17">
        <v>0</v>
      </c>
      <c r="AG17">
        <v>-0.4095185742585899</v>
      </c>
      <c r="AH17">
        <v>3.6954057278626905E-2</v>
      </c>
      <c r="AI17">
        <v>0.62712055568206204</v>
      </c>
      <c r="AJ17">
        <v>122.56474349643297</v>
      </c>
      <c r="AK17">
        <v>-18.132426335506715</v>
      </c>
      <c r="AL17">
        <v>0.28673066668246561</v>
      </c>
      <c r="AM17">
        <v>9.9320912919450777</v>
      </c>
      <c r="AN17">
        <v>21.63915127070122</v>
      </c>
      <c r="AO17">
        <v>0</v>
      </c>
      <c r="AP17">
        <v>31.995031490392112</v>
      </c>
      <c r="AQ17">
        <v>-1.9102928781440584E-2</v>
      </c>
      <c r="AR17">
        <v>-16.237921670525445</v>
      </c>
      <c r="AS17" s="65"/>
      <c r="AT17" s="65"/>
    </row>
    <row r="18" spans="1:46" hidden="1" x14ac:dyDescent="0.25">
      <c r="A18" s="65" t="s">
        <v>341</v>
      </c>
      <c r="B18" s="117">
        <v>46104.166666666664</v>
      </c>
      <c r="C18" s="66">
        <v>46104</v>
      </c>
      <c r="D18" s="65">
        <v>4</v>
      </c>
      <c r="I18" s="65" t="s">
        <v>286</v>
      </c>
      <c r="K18"/>
      <c r="O18" s="68">
        <v>3122.2300109960224</v>
      </c>
      <c r="P18" s="68">
        <v>367.95664464843748</v>
      </c>
      <c r="Q18" s="68"/>
      <c r="R18" s="69"/>
      <c r="S18" s="68">
        <v>347.05639913230988</v>
      </c>
      <c r="T18" s="68"/>
      <c r="U18" s="69"/>
      <c r="W18" s="69"/>
      <c r="Z18"/>
      <c r="AA18">
        <v>-20.302871098298123</v>
      </c>
      <c r="AB18">
        <v>8.4450871102767597E-2</v>
      </c>
      <c r="AC18">
        <v>-5.1022465605439424E-2</v>
      </c>
      <c r="AD18">
        <v>4.8048183878759712E-2</v>
      </c>
      <c r="AE18">
        <v>-1.4412485309042047</v>
      </c>
      <c r="AF18">
        <v>0</v>
      </c>
      <c r="AG18">
        <v>-1.1851121757258609</v>
      </c>
      <c r="AH18">
        <v>0.1069138043954557</v>
      </c>
      <c r="AI18">
        <v>1.8148339364882671</v>
      </c>
      <c r="AJ18"/>
      <c r="AK18"/>
      <c r="AL18"/>
      <c r="AM18"/>
      <c r="AN18"/>
      <c r="AO18"/>
      <c r="AP18"/>
      <c r="AQ18"/>
      <c r="AR18"/>
      <c r="AS18" s="65"/>
      <c r="AT18" s="65"/>
    </row>
    <row r="19" spans="1:46" hidden="1" x14ac:dyDescent="0.25">
      <c r="A19" s="65" t="s">
        <v>341</v>
      </c>
      <c r="B19" s="117">
        <v>46104.208333333336</v>
      </c>
      <c r="C19" s="66">
        <v>46104</v>
      </c>
      <c r="D19" s="65">
        <v>5</v>
      </c>
      <c r="E19" s="67">
        <v>19.607556327967117</v>
      </c>
      <c r="F19" s="67">
        <v>86.754640903805608</v>
      </c>
      <c r="G19" s="67">
        <v>1005.3801285865278</v>
      </c>
      <c r="H19" s="67">
        <v>18.089430821969806</v>
      </c>
      <c r="I19" s="65" t="s">
        <v>265</v>
      </c>
      <c r="J19" s="68">
        <v>18.159418735976747</v>
      </c>
      <c r="K19">
        <v>94.965297542471376</v>
      </c>
      <c r="L19" s="68">
        <v>0.95389846641107379</v>
      </c>
      <c r="M19" s="68" t="s">
        <v>200</v>
      </c>
      <c r="N19" s="68">
        <v>553.5123754916043</v>
      </c>
      <c r="O19" s="68">
        <v>1056.1308592902078</v>
      </c>
      <c r="P19" s="68">
        <v>119.46643241753473</v>
      </c>
      <c r="Q19" s="68">
        <v>10694.902521376067</v>
      </c>
      <c r="R19" s="69">
        <v>0.31904358110605524</v>
      </c>
      <c r="S19" s="68">
        <v>112.17189370852</v>
      </c>
      <c r="T19" s="68">
        <v>10863.566889983997</v>
      </c>
      <c r="U19" s="69">
        <v>0.31409020946388505</v>
      </c>
      <c r="V19" s="68">
        <v>11.108897739468865</v>
      </c>
      <c r="W19" s="69">
        <v>0.84579166151188601</v>
      </c>
      <c r="X19" s="68">
        <v>561.16284248830686</v>
      </c>
      <c r="Y19" s="68">
        <v>421.87667608242919</v>
      </c>
      <c r="Z19"/>
      <c r="AA19">
        <v>-6.7069857553524308</v>
      </c>
      <c r="AB19">
        <v>2.7851967086393488E-2</v>
      </c>
      <c r="AC19">
        <v>-0.31319112906033358</v>
      </c>
      <c r="AD19">
        <v>1.5440957647594946E-2</v>
      </c>
      <c r="AE19">
        <v>-0.59819378959718961</v>
      </c>
      <c r="AF19">
        <v>0</v>
      </c>
      <c r="AG19">
        <v>-0.38477664612857898</v>
      </c>
      <c r="AH19">
        <v>4.3503918983332224E-2</v>
      </c>
      <c r="AI19">
        <v>0.58923174503255915</v>
      </c>
      <c r="AJ19">
        <v>138.30144897869312</v>
      </c>
      <c r="AK19">
        <v>-20.391701892760679</v>
      </c>
      <c r="AL19">
        <v>5.4050339581380671</v>
      </c>
      <c r="AM19">
        <v>10.583157737506383</v>
      </c>
      <c r="AN19">
        <v>17.48847430707384</v>
      </c>
      <c r="AO19">
        <v>0</v>
      </c>
      <c r="AP19">
        <v>34.488554674856921</v>
      </c>
      <c r="AQ19">
        <v>-2.6560251412133536E-2</v>
      </c>
      <c r="AR19">
        <v>-17.503419226454948</v>
      </c>
      <c r="AS19" s="65"/>
      <c r="AT19" s="65"/>
    </row>
    <row r="20" spans="1:46" hidden="1" x14ac:dyDescent="0.25">
      <c r="A20" s="65" t="s">
        <v>341</v>
      </c>
      <c r="B20" s="117">
        <v>46104.208333333336</v>
      </c>
      <c r="C20" s="66">
        <v>46104</v>
      </c>
      <c r="D20" s="65">
        <v>5</v>
      </c>
      <c r="E20" s="67">
        <v>19.607556327967117</v>
      </c>
      <c r="F20" s="67">
        <v>86.754640903805608</v>
      </c>
      <c r="G20" s="67">
        <v>1005.3801285865278</v>
      </c>
      <c r="H20" s="67">
        <v>18.089430821969806</v>
      </c>
      <c r="I20" s="65" t="s">
        <v>268</v>
      </c>
      <c r="J20" s="68">
        <v>18.458721557765539</v>
      </c>
      <c r="K20">
        <v>93.199084116625613</v>
      </c>
      <c r="L20" s="68">
        <v>0.75674558240615764</v>
      </c>
      <c r="M20" s="68" t="s">
        <v>200</v>
      </c>
      <c r="N20" s="68">
        <v>544.0794418705749</v>
      </c>
      <c r="O20" s="68">
        <v>1044.8675866910448</v>
      </c>
      <c r="P20" s="68">
        <v>121.78524102864583</v>
      </c>
      <c r="Q20" s="68">
        <v>10379.384241061209</v>
      </c>
      <c r="R20" s="69">
        <v>0.32874204487983538</v>
      </c>
      <c r="S20" s="68">
        <v>115.14837613485736</v>
      </c>
      <c r="T20" s="68">
        <v>10521.740348378522</v>
      </c>
      <c r="U20" s="69">
        <v>0.32429425998198441</v>
      </c>
      <c r="V20" s="68">
        <v>11.339284928334987</v>
      </c>
      <c r="W20" s="69">
        <v>0.86359791559830601</v>
      </c>
      <c r="X20" s="68">
        <v>550.90972333268462</v>
      </c>
      <c r="Y20" s="68">
        <v>413.50965984013737</v>
      </c>
      <c r="Z20"/>
      <c r="AA20">
        <v>-6.6264594347439028</v>
      </c>
      <c r="AB20">
        <v>2.8579943363616404E-2</v>
      </c>
      <c r="AC20">
        <v>-0.3207673378441534</v>
      </c>
      <c r="AD20">
        <v>1.5709743816868439E-2</v>
      </c>
      <c r="AE20">
        <v>1.5234803714692142E-2</v>
      </c>
      <c r="AF20">
        <v>0</v>
      </c>
      <c r="AG20">
        <v>-0.39224504861070114</v>
      </c>
      <c r="AH20">
        <v>4.4360682138804765E-2</v>
      </c>
      <c r="AI20">
        <v>0.60066856135554303</v>
      </c>
      <c r="AJ20">
        <v>130.21885853512239</v>
      </c>
      <c r="AK20">
        <v>-19.506736226819964</v>
      </c>
      <c r="AL20">
        <v>5.2947221200458729</v>
      </c>
      <c r="AM20">
        <v>10.248829440154845</v>
      </c>
      <c r="AN20">
        <v>-0.42308592526420907</v>
      </c>
      <c r="AO20">
        <v>0</v>
      </c>
      <c r="AP20">
        <v>33.47108215093197</v>
      </c>
      <c r="AQ20">
        <v>-2.5290659330678495E-2</v>
      </c>
      <c r="AR20">
        <v>-16.987037826725228</v>
      </c>
      <c r="AS20" s="65"/>
      <c r="AT20" s="65"/>
    </row>
    <row r="21" spans="1:46" hidden="1" x14ac:dyDescent="0.25">
      <c r="A21" s="65" t="s">
        <v>341</v>
      </c>
      <c r="B21" s="117">
        <v>46104.208333333336</v>
      </c>
      <c r="C21" s="66">
        <v>46104</v>
      </c>
      <c r="D21" s="65">
        <v>5</v>
      </c>
      <c r="E21" s="67">
        <v>19.607556327967117</v>
      </c>
      <c r="F21" s="67">
        <v>86.754640903805608</v>
      </c>
      <c r="G21" s="67">
        <v>1005.3801285865278</v>
      </c>
      <c r="H21" s="67">
        <v>18.089430821969806</v>
      </c>
      <c r="I21" s="65" t="s">
        <v>269</v>
      </c>
      <c r="J21" s="68">
        <v>18.748982362536324</v>
      </c>
      <c r="K21">
        <v>91.521446348794683</v>
      </c>
      <c r="L21" s="68">
        <v>0.56554873891455038</v>
      </c>
      <c r="M21" s="68" t="s">
        <v>200</v>
      </c>
      <c r="N21" s="68">
        <v>549.0734825204637</v>
      </c>
      <c r="O21" s="68">
        <v>1053.3516280990336</v>
      </c>
      <c r="P21" s="68">
        <v>127.50278430989586</v>
      </c>
      <c r="Q21" s="68">
        <v>9994.4452881381312</v>
      </c>
      <c r="R21" s="69">
        <v>0.34140363988481531</v>
      </c>
      <c r="S21" s="68">
        <v>119.94588154005966</v>
      </c>
      <c r="T21" s="68">
        <v>10150.652687491975</v>
      </c>
      <c r="U21" s="69">
        <v>0.33614981273121186</v>
      </c>
      <c r="V21" s="68">
        <v>11.468861297617396</v>
      </c>
      <c r="W21" s="69">
        <v>0.86486221505518501</v>
      </c>
      <c r="X21" s="68">
        <v>556.51612934458228</v>
      </c>
      <c r="Y21" s="68">
        <v>419.71168744216607</v>
      </c>
      <c r="Z21"/>
      <c r="AA21">
        <v>-6.7228481512947322</v>
      </c>
      <c r="AB21">
        <v>3.0033404211300244E-2</v>
      </c>
      <c r="AC21">
        <v>-0.33834338024760602</v>
      </c>
      <c r="AD21">
        <v>1.6416475269499103E-2</v>
      </c>
      <c r="AE21">
        <v>-0.8507823433330387</v>
      </c>
      <c r="AF21">
        <v>0</v>
      </c>
      <c r="AG21">
        <v>-0.41066007183802467</v>
      </c>
      <c r="AH21">
        <v>4.6455870634788898E-2</v>
      </c>
      <c r="AI21">
        <v>0.62886859994994626</v>
      </c>
      <c r="AJ21">
        <v>121.65466245083563</v>
      </c>
      <c r="AK21">
        <v>-18.499489601678746</v>
      </c>
      <c r="AL21">
        <v>5.1594127909085232</v>
      </c>
      <c r="AM21">
        <v>9.8484742255298166</v>
      </c>
      <c r="AN21">
        <v>21.834235257611684</v>
      </c>
      <c r="AO21">
        <v>0</v>
      </c>
      <c r="AP21">
        <v>32.229744224023818</v>
      </c>
      <c r="AQ21">
        <v>-2.3898852472345869E-2</v>
      </c>
      <c r="AR21">
        <v>-16.357041634040126</v>
      </c>
      <c r="AS21" s="65"/>
      <c r="AT21" s="65"/>
    </row>
    <row r="22" spans="1:46" hidden="1" x14ac:dyDescent="0.25">
      <c r="A22" s="65" t="s">
        <v>341</v>
      </c>
      <c r="B22" s="117">
        <v>46104.208333333336</v>
      </c>
      <c r="C22" s="66">
        <v>46104</v>
      </c>
      <c r="D22" s="65">
        <v>5</v>
      </c>
      <c r="I22" s="65" t="s">
        <v>286</v>
      </c>
      <c r="K22"/>
      <c r="O22" s="68">
        <v>3154.3500740802865</v>
      </c>
      <c r="P22" s="68">
        <v>368.75445775607642</v>
      </c>
      <c r="Q22" s="68"/>
      <c r="R22" s="69"/>
      <c r="S22" s="68">
        <v>347.26615138343703</v>
      </c>
      <c r="T22" s="68"/>
      <c r="U22" s="69"/>
      <c r="W22" s="69"/>
      <c r="Z22"/>
      <c r="AA22">
        <v>-20.056293341391068</v>
      </c>
      <c r="AB22">
        <v>8.6465314661310133E-2</v>
      </c>
      <c r="AC22">
        <v>-0.972301847152093</v>
      </c>
      <c r="AD22">
        <v>4.7567176733962491E-2</v>
      </c>
      <c r="AE22">
        <v>-1.4337413292155361</v>
      </c>
      <c r="AF22">
        <v>0</v>
      </c>
      <c r="AG22">
        <v>-1.1876817665773047</v>
      </c>
      <c r="AH22">
        <v>0.13432047175692588</v>
      </c>
      <c r="AI22">
        <v>1.8187689063380486</v>
      </c>
      <c r="AJ22"/>
      <c r="AK22"/>
      <c r="AL22"/>
      <c r="AM22"/>
      <c r="AN22"/>
      <c r="AO22"/>
      <c r="AP22"/>
      <c r="AQ22"/>
      <c r="AR22"/>
      <c r="AS22" s="65"/>
      <c r="AT22" s="65"/>
    </row>
    <row r="23" spans="1:46" hidden="1" x14ac:dyDescent="0.25">
      <c r="A23" s="65" t="s">
        <v>341</v>
      </c>
      <c r="B23" s="117">
        <v>46104.25</v>
      </c>
      <c r="C23" s="66">
        <v>46104</v>
      </c>
      <c r="D23" s="65">
        <v>6</v>
      </c>
      <c r="E23" s="67">
        <v>19.332918951146869</v>
      </c>
      <c r="F23" s="67">
        <v>87.453668726092417</v>
      </c>
      <c r="G23" s="67">
        <v>1005.6215769351195</v>
      </c>
      <c r="H23" s="67">
        <v>17.907411440364299</v>
      </c>
      <c r="I23" s="65" t="s">
        <v>265</v>
      </c>
      <c r="J23" s="68">
        <v>18.128420149630976</v>
      </c>
      <c r="K23">
        <v>94.293532380208973</v>
      </c>
      <c r="L23" s="68">
        <v>0.84496138561532497</v>
      </c>
      <c r="M23" s="68" t="s">
        <v>200</v>
      </c>
      <c r="N23" s="68">
        <v>553.50531358215312</v>
      </c>
      <c r="O23" s="68">
        <v>1060.2561543289648</v>
      </c>
      <c r="P23" s="68">
        <v>119.48224178385416</v>
      </c>
      <c r="Q23" s="68">
        <v>10735.256665646712</v>
      </c>
      <c r="R23" s="69">
        <v>0.31784428693903483</v>
      </c>
      <c r="S23" s="68">
        <v>112.219257002264</v>
      </c>
      <c r="T23" s="68">
        <v>10903.871848385252</v>
      </c>
      <c r="U23" s="69">
        <v>0.3129292096830083</v>
      </c>
      <c r="V23" s="68">
        <v>11.102159429636922</v>
      </c>
      <c r="W23" s="69">
        <v>0.84570656645886599</v>
      </c>
      <c r="X23" s="68">
        <v>561.08133070665372</v>
      </c>
      <c r="Y23" s="68">
        <v>422.21951275531802</v>
      </c>
      <c r="Z23"/>
      <c r="AA23">
        <v>-6.7292401865480009</v>
      </c>
      <c r="AB23">
        <v>2.7347090154927211E-2</v>
      </c>
      <c r="AC23">
        <v>-0.23599437472457696</v>
      </c>
      <c r="AD23">
        <v>1.5304273625771051E-2</v>
      </c>
      <c r="AE23">
        <v>-0.59794943666881639</v>
      </c>
      <c r="AF23">
        <v>0</v>
      </c>
      <c r="AG23">
        <v>-0.38482756482453995</v>
      </c>
      <c r="AH23">
        <v>2.36788578008378E-2</v>
      </c>
      <c r="AI23">
        <v>0.58930971991065462</v>
      </c>
      <c r="AJ23">
        <v>139.25221446541292</v>
      </c>
      <c r="AK23">
        <v>-20.120458841091942</v>
      </c>
      <c r="AL23">
        <v>4.0824677727846179</v>
      </c>
      <c r="AM23">
        <v>10.518522160045803</v>
      </c>
      <c r="AN23">
        <v>17.541898099963703</v>
      </c>
      <c r="AO23">
        <v>0</v>
      </c>
      <c r="AP23">
        <v>34.618687334622024</v>
      </c>
      <c r="AQ23">
        <v>-1.454035583034323E-2</v>
      </c>
      <c r="AR23">
        <v>-17.569463353858836</v>
      </c>
      <c r="AS23" s="65"/>
      <c r="AT23" s="65"/>
    </row>
    <row r="24" spans="1:46" hidden="1" x14ac:dyDescent="0.25">
      <c r="A24" s="65" t="s">
        <v>341</v>
      </c>
      <c r="B24" s="117">
        <v>46104.25</v>
      </c>
      <c r="C24" s="66">
        <v>46104</v>
      </c>
      <c r="D24" s="65">
        <v>6</v>
      </c>
      <c r="E24" s="67">
        <v>19.332918951146869</v>
      </c>
      <c r="F24" s="67">
        <v>87.453668726092417</v>
      </c>
      <c r="G24" s="67">
        <v>1005.6215769351195</v>
      </c>
      <c r="H24" s="67">
        <v>17.907411440364299</v>
      </c>
      <c r="I24" s="65" t="s">
        <v>268</v>
      </c>
      <c r="J24" s="68">
        <v>18.232163595433764</v>
      </c>
      <c r="K24">
        <v>93.681317093218468</v>
      </c>
      <c r="L24" s="68">
        <v>0.7721848867066412</v>
      </c>
      <c r="M24" s="68" t="s">
        <v>200</v>
      </c>
      <c r="N24" s="68">
        <v>543.88164720906582</v>
      </c>
      <c r="O24" s="68">
        <v>1049.4304726728553</v>
      </c>
      <c r="P24" s="68">
        <v>121.85548996093748</v>
      </c>
      <c r="Q24" s="68">
        <v>10418.700726926932</v>
      </c>
      <c r="R24" s="69">
        <v>0.32750148885468888</v>
      </c>
      <c r="S24" s="68">
        <v>115.10196874145957</v>
      </c>
      <c r="T24" s="68">
        <v>10563.636776353442</v>
      </c>
      <c r="U24" s="69">
        <v>0.32300807688106326</v>
      </c>
      <c r="V24" s="68">
        <v>11.341693694307766</v>
      </c>
      <c r="W24" s="69">
        <v>0.86315756748944705</v>
      </c>
      <c r="X24" s="68">
        <v>550.78357376012821</v>
      </c>
      <c r="Y24" s="68">
        <v>413.62355053069177</v>
      </c>
      <c r="Z24"/>
      <c r="AA24">
        <v>-6.7899398715230914</v>
      </c>
      <c r="AB24">
        <v>2.7961918626163155E-2</v>
      </c>
      <c r="AC24">
        <v>-0.24384415989110902</v>
      </c>
      <c r="AD24">
        <v>1.5653105785708013E-2</v>
      </c>
      <c r="AE24">
        <v>8.4573732681315419E-3</v>
      </c>
      <c r="AF24">
        <v>0</v>
      </c>
      <c r="AG24">
        <v>-0.39247130587823903</v>
      </c>
      <c r="AH24">
        <v>2.4151518953501989E-2</v>
      </c>
      <c r="AI24">
        <v>0.60101504279073159</v>
      </c>
      <c r="AJ24">
        <v>133.75298316238607</v>
      </c>
      <c r="AK24">
        <v>-19.430997408884839</v>
      </c>
      <c r="AL24">
        <v>4.0207667685319599</v>
      </c>
      <c r="AM24">
        <v>10.240525350272119</v>
      </c>
      <c r="AN24">
        <v>-0.23531153009256833</v>
      </c>
      <c r="AO24">
        <v>0</v>
      </c>
      <c r="AP24">
        <v>33.59786860547824</v>
      </c>
      <c r="AQ24">
        <v>-1.4019551002413918E-2</v>
      </c>
      <c r="AR24">
        <v>-17.051383708629555</v>
      </c>
      <c r="AS24" s="65"/>
      <c r="AT24" s="65"/>
    </row>
    <row r="25" spans="1:46" hidden="1" x14ac:dyDescent="0.25">
      <c r="A25" s="65" t="s">
        <v>341</v>
      </c>
      <c r="B25" s="117">
        <v>46104.25</v>
      </c>
      <c r="C25" s="66">
        <v>46104</v>
      </c>
      <c r="D25" s="65">
        <v>6</v>
      </c>
      <c r="E25" s="67">
        <v>19.332918951146869</v>
      </c>
      <c r="F25" s="67">
        <v>87.453668726092417</v>
      </c>
      <c r="G25" s="67">
        <v>1005.6215769351195</v>
      </c>
      <c r="H25" s="67">
        <v>17.907411440364299</v>
      </c>
      <c r="I25" s="65" t="s">
        <v>269</v>
      </c>
      <c r="J25" s="68">
        <v>18.593008236627576</v>
      </c>
      <c r="K25">
        <v>91.58644412904907</v>
      </c>
      <c r="L25" s="68">
        <v>0.51905073029962512</v>
      </c>
      <c r="M25" s="68" t="s">
        <v>200</v>
      </c>
      <c r="N25" s="68">
        <v>548.98356993952439</v>
      </c>
      <c r="O25" s="68">
        <v>1058.1806567824308</v>
      </c>
      <c r="P25" s="68">
        <v>127.5834751171875</v>
      </c>
      <c r="Q25" s="68">
        <v>10033.914220301687</v>
      </c>
      <c r="R25" s="69">
        <v>0.34006071061442739</v>
      </c>
      <c r="S25" s="68">
        <v>119.96523154258659</v>
      </c>
      <c r="T25" s="68">
        <v>10191.517616694595</v>
      </c>
      <c r="U25" s="69">
        <v>0.33480195279362684</v>
      </c>
      <c r="V25" s="68">
        <v>11.466598852426115</v>
      </c>
      <c r="W25" s="69">
        <v>0.86457496956730995</v>
      </c>
      <c r="X25" s="68">
        <v>556.43959507084116</v>
      </c>
      <c r="Y25" s="68">
        <v>419.76066207175603</v>
      </c>
      <c r="Z25"/>
      <c r="AA25">
        <v>-6.8426463168147018</v>
      </c>
      <c r="AB25">
        <v>2.9459690285313374E-2</v>
      </c>
      <c r="AC25">
        <v>-0.2557624426446013</v>
      </c>
      <c r="AD25">
        <v>1.6251379350755893E-2</v>
      </c>
      <c r="AE25">
        <v>-0.85046537179973269</v>
      </c>
      <c r="AF25">
        <v>0</v>
      </c>
      <c r="AG25">
        <v>-0.41091996022319527</v>
      </c>
      <c r="AH25">
        <v>2.5295292254415857E-2</v>
      </c>
      <c r="AI25">
        <v>0.62926658274918457</v>
      </c>
      <c r="AJ25">
        <v>124.14958746545759</v>
      </c>
      <c r="AK25">
        <v>-18.372229168535455</v>
      </c>
      <c r="AL25">
        <v>3.9007924463710797</v>
      </c>
      <c r="AM25">
        <v>9.7715848666196443</v>
      </c>
      <c r="AN25">
        <v>21.879996563119029</v>
      </c>
      <c r="AO25">
        <v>0</v>
      </c>
      <c r="AP25">
        <v>32.357022282160422</v>
      </c>
      <c r="AQ25">
        <v>-1.3193442868369827E-2</v>
      </c>
      <c r="AR25">
        <v>-16.421637011576145</v>
      </c>
      <c r="AS25" s="65"/>
      <c r="AT25" s="65"/>
    </row>
    <row r="26" spans="1:46" hidden="1" x14ac:dyDescent="0.25">
      <c r="A26" s="65" t="s">
        <v>341</v>
      </c>
      <c r="B26" s="117">
        <v>46104.25</v>
      </c>
      <c r="C26" s="66">
        <v>46104</v>
      </c>
      <c r="D26" s="65">
        <v>6</v>
      </c>
      <c r="I26" s="65" t="s">
        <v>286</v>
      </c>
      <c r="K26"/>
      <c r="O26" s="68">
        <v>3167.8672837842505</v>
      </c>
      <c r="P26" s="68">
        <v>368.92120686197916</v>
      </c>
      <c r="Q26" s="68"/>
      <c r="R26" s="69"/>
      <c r="S26" s="68">
        <v>347.28645728631017</v>
      </c>
      <c r="T26" s="68"/>
      <c r="U26" s="69"/>
      <c r="W26" s="69"/>
      <c r="Z26"/>
      <c r="AA26">
        <v>-20.361826374885794</v>
      </c>
      <c r="AB26">
        <v>8.4768699066403747E-2</v>
      </c>
      <c r="AC26">
        <v>-0.73560097726028728</v>
      </c>
      <c r="AD26">
        <v>4.7208758762234959E-2</v>
      </c>
      <c r="AE26">
        <v>-1.4399574352004176</v>
      </c>
      <c r="AF26">
        <v>0</v>
      </c>
      <c r="AG26">
        <v>-1.1882188309259742</v>
      </c>
      <c r="AH26">
        <v>7.3125669008755653E-2</v>
      </c>
      <c r="AI26">
        <v>1.8195913454505708</v>
      </c>
      <c r="AJ26"/>
      <c r="AK26"/>
      <c r="AL26"/>
      <c r="AM26"/>
      <c r="AN26"/>
      <c r="AO26"/>
      <c r="AP26"/>
      <c r="AQ26"/>
      <c r="AR26"/>
      <c r="AS26" s="65"/>
      <c r="AT26" s="65"/>
    </row>
    <row r="27" spans="1:46" hidden="1" x14ac:dyDescent="0.25">
      <c r="A27" s="65" t="s">
        <v>341</v>
      </c>
      <c r="B27" s="117">
        <v>46104.833333333336</v>
      </c>
      <c r="C27" s="66">
        <v>46104</v>
      </c>
      <c r="D27" s="65">
        <v>20</v>
      </c>
      <c r="E27" s="67">
        <v>29.453438518195675</v>
      </c>
      <c r="F27" s="67">
        <v>48.281451655850937</v>
      </c>
      <c r="G27" s="67">
        <v>1003.7700373066541</v>
      </c>
      <c r="H27" s="67">
        <v>21.126610096558228</v>
      </c>
      <c r="I27" s="65" t="s">
        <v>265</v>
      </c>
      <c r="J27" s="68">
        <v>21.320123652735813</v>
      </c>
      <c r="K27">
        <v>78.272879354687447</v>
      </c>
      <c r="L27" s="68">
        <v>0.97676023254247246</v>
      </c>
      <c r="M27" s="68" t="s">
        <v>200</v>
      </c>
      <c r="N27" s="68">
        <v>555.03871562374536</v>
      </c>
      <c r="O27" s="68">
        <v>1039.2912933520859</v>
      </c>
      <c r="P27" s="68">
        <v>118.64911659722223</v>
      </c>
      <c r="Q27" s="68">
        <v>10596.874054333333</v>
      </c>
      <c r="R27" s="69">
        <v>0.32199495648480303</v>
      </c>
      <c r="S27" s="68">
        <v>114.19686501865665</v>
      </c>
      <c r="T27" s="68">
        <v>10712.62222732306</v>
      </c>
      <c r="U27" s="69">
        <v>0.31851585238366498</v>
      </c>
      <c r="V27" s="68">
        <v>11.008559148912651</v>
      </c>
      <c r="W27" s="69">
        <v>0.85696903236245903</v>
      </c>
      <c r="X27" s="68">
        <v>559.36271083229121</v>
      </c>
      <c r="Y27" s="68">
        <v>426.17297021524502</v>
      </c>
      <c r="Z27"/>
      <c r="AA27">
        <v>-4.4535817336937784</v>
      </c>
      <c r="AB27">
        <v>2.6139073333232996E-2</v>
      </c>
      <c r="AC27">
        <v>0.22465341874696315</v>
      </c>
      <c r="AD27">
        <v>1.0633459299578448E-2</v>
      </c>
      <c r="AE27">
        <v>-0.63420217202851914</v>
      </c>
      <c r="AF27">
        <v>0</v>
      </c>
      <c r="AG27">
        <v>-0.3821442410771872</v>
      </c>
      <c r="AH27">
        <v>0.17520309182824378</v>
      </c>
      <c r="AI27">
        <v>0.58520058400012531</v>
      </c>
      <c r="AJ27">
        <v>93.567580420949923</v>
      </c>
      <c r="AK27">
        <v>-16.30447159292855</v>
      </c>
      <c r="AL27">
        <v>-4.1611544583087161</v>
      </c>
      <c r="AM27">
        <v>6.9684443873094359</v>
      </c>
      <c r="AN27">
        <v>18.818073169784657</v>
      </c>
      <c r="AO27">
        <v>0</v>
      </c>
      <c r="AP27">
        <v>34.17243583800559</v>
      </c>
      <c r="AQ27">
        <v>-8.5121172370197382E-2</v>
      </c>
      <c r="AR27">
        <v>-17.342984537934299</v>
      </c>
      <c r="AS27" s="65"/>
      <c r="AT27" s="65"/>
    </row>
    <row r="28" spans="1:46" hidden="1" x14ac:dyDescent="0.25">
      <c r="A28" s="65" t="s">
        <v>341</v>
      </c>
      <c r="B28" s="117">
        <v>46104.833333333336</v>
      </c>
      <c r="C28" s="66">
        <v>46104</v>
      </c>
      <c r="D28" s="65">
        <v>20</v>
      </c>
      <c r="E28" s="67">
        <v>29.453438518195675</v>
      </c>
      <c r="F28" s="67">
        <v>48.281451655850937</v>
      </c>
      <c r="G28" s="67">
        <v>1003.7700373066541</v>
      </c>
      <c r="H28" s="67">
        <v>21.126610096558228</v>
      </c>
      <c r="I28" s="65" t="s">
        <v>268</v>
      </c>
      <c r="J28" s="68">
        <v>21.553838505566912</v>
      </c>
      <c r="K28">
        <v>77.160974374839071</v>
      </c>
      <c r="L28" s="68">
        <v>0.94869254086003241</v>
      </c>
      <c r="M28" s="68" t="s">
        <v>200</v>
      </c>
      <c r="N28" s="68">
        <v>548.37751589938682</v>
      </c>
      <c r="O28" s="68">
        <v>1007.5966589600623</v>
      </c>
      <c r="P28" s="68">
        <v>118.18354038628472</v>
      </c>
      <c r="Q28" s="68">
        <v>10314.180221304738</v>
      </c>
      <c r="R28" s="69">
        <v>0.33082028108758083</v>
      </c>
      <c r="S28" s="68">
        <v>114.29797744814037</v>
      </c>
      <c r="T28" s="68">
        <v>10412.039497240823</v>
      </c>
      <c r="U28" s="69">
        <v>0.32771101193999624</v>
      </c>
      <c r="V28" s="68">
        <v>11.074843873198239</v>
      </c>
      <c r="W28" s="69">
        <v>0.86378216637626204</v>
      </c>
      <c r="X28" s="68">
        <v>552.15521137387987</v>
      </c>
      <c r="Y28" s="68">
        <v>417.32216117767337</v>
      </c>
      <c r="Z28"/>
      <c r="AA28">
        <v>-4.2689899131971831</v>
      </c>
      <c r="AB28">
        <v>2.5578667921257368E-2</v>
      </c>
      <c r="AC28">
        <v>0.21731710960940334</v>
      </c>
      <c r="AD28">
        <v>1.0651199085387345E-2</v>
      </c>
      <c r="AE28">
        <v>-0.23062798569139423</v>
      </c>
      <c r="AF28">
        <v>0</v>
      </c>
      <c r="AG28">
        <v>-0.3806447164882576</v>
      </c>
      <c r="AH28">
        <v>0.17455352418694034</v>
      </c>
      <c r="AI28">
        <v>0.5829042713232927</v>
      </c>
      <c r="AJ28">
        <v>87.481882088040464</v>
      </c>
      <c r="AK28">
        <v>-15.51047486385</v>
      </c>
      <c r="AL28">
        <v>-3.9396273247813882</v>
      </c>
      <c r="AM28">
        <v>6.8218965273462704</v>
      </c>
      <c r="AN28">
        <v>6.6982275408190839</v>
      </c>
      <c r="AO28">
        <v>0</v>
      </c>
      <c r="AP28">
        <v>33.260814465378331</v>
      </c>
      <c r="AQ28">
        <v>-8.1327308371590509E-2</v>
      </c>
      <c r="AR28">
        <v>-16.880324063718369</v>
      </c>
      <c r="AS28" s="65"/>
      <c r="AT28" s="65"/>
    </row>
    <row r="29" spans="1:46" hidden="1" x14ac:dyDescent="0.25">
      <c r="A29" s="65" t="s">
        <v>341</v>
      </c>
      <c r="B29" s="117">
        <v>46104.833333333336</v>
      </c>
      <c r="C29" s="66">
        <v>46104</v>
      </c>
      <c r="D29" s="65">
        <v>20</v>
      </c>
      <c r="E29" s="67">
        <v>29.453438518195675</v>
      </c>
      <c r="F29" s="67">
        <v>48.281451655850937</v>
      </c>
      <c r="G29" s="67">
        <v>1003.7700373066541</v>
      </c>
      <c r="H29" s="67">
        <v>21.126610096558228</v>
      </c>
      <c r="I29" s="65" t="s">
        <v>269</v>
      </c>
      <c r="J29" s="68">
        <v>21.552978778070873</v>
      </c>
      <c r="K29">
        <v>77.165031816063617</v>
      </c>
      <c r="L29" s="68">
        <v>0.9487957887537688</v>
      </c>
      <c r="M29" s="68" t="s">
        <v>200</v>
      </c>
      <c r="N29" s="68">
        <v>552.58741620973376</v>
      </c>
      <c r="O29" s="68">
        <v>1006.693656556916</v>
      </c>
      <c r="P29" s="68">
        <v>123.42359285590274</v>
      </c>
      <c r="Q29" s="68">
        <v>9867.4319540490778</v>
      </c>
      <c r="R29" s="69">
        <v>0.34579817888684161</v>
      </c>
      <c r="S29" s="68">
        <v>118.78545636369374</v>
      </c>
      <c r="T29" s="68">
        <v>9977.025649037676</v>
      </c>
      <c r="U29" s="69">
        <v>0.34199972216460267</v>
      </c>
      <c r="V29" s="68">
        <v>11.225743573763978</v>
      </c>
      <c r="W29" s="69">
        <v>0.86361572902792905</v>
      </c>
      <c r="X29" s="68">
        <v>556.93007153445296</v>
      </c>
      <c r="Y29" s="68">
        <v>424.14076521464631</v>
      </c>
      <c r="Z29"/>
      <c r="AA29">
        <v>-4.4589124334167227</v>
      </c>
      <c r="AB29">
        <v>2.6714589466329108E-2</v>
      </c>
      <c r="AC29">
        <v>0.22642615612374703</v>
      </c>
      <c r="AD29">
        <v>1.1038977179016944E-2</v>
      </c>
      <c r="AE29">
        <v>-0.83843768335762459</v>
      </c>
      <c r="AF29">
        <v>0</v>
      </c>
      <c r="AG29">
        <v>-0.39752184066444973</v>
      </c>
      <c r="AH29">
        <v>0.18229277792644469</v>
      </c>
      <c r="AI29">
        <v>0.60874923210645249</v>
      </c>
      <c r="AJ29">
        <v>83.705321122916956</v>
      </c>
      <c r="AK29">
        <v>-14.839932522661607</v>
      </c>
      <c r="AL29">
        <v>-3.7602424086411146</v>
      </c>
      <c r="AM29">
        <v>6.4756339883296645</v>
      </c>
      <c r="AN29">
        <v>22.272176222160031</v>
      </c>
      <c r="AO29">
        <v>0</v>
      </c>
      <c r="AP29">
        <v>31.820155982484373</v>
      </c>
      <c r="AQ29">
        <v>-7.7810058417995362E-2</v>
      </c>
      <c r="AR29">
        <v>-16.149169927919662</v>
      </c>
      <c r="AS29" s="65"/>
      <c r="AT29" s="65"/>
    </row>
    <row r="30" spans="1:46" hidden="1" x14ac:dyDescent="0.25">
      <c r="A30" s="65" t="s">
        <v>341</v>
      </c>
      <c r="B30" s="117">
        <v>46104.833333333336</v>
      </c>
      <c r="C30" s="66">
        <v>46104</v>
      </c>
      <c r="D30" s="65">
        <v>20</v>
      </c>
      <c r="I30" s="65" t="s">
        <v>286</v>
      </c>
      <c r="K30"/>
      <c r="O30" s="68">
        <v>3053.5816088690644</v>
      </c>
      <c r="P30" s="68">
        <v>360.25624983940969</v>
      </c>
      <c r="Q30" s="68"/>
      <c r="R30" s="69"/>
      <c r="S30" s="68">
        <v>347.28029883049078</v>
      </c>
      <c r="T30" s="68"/>
      <c r="U30" s="69"/>
      <c r="W30" s="69"/>
      <c r="Z30"/>
      <c r="AA30">
        <v>-13.181484080307685</v>
      </c>
      <c r="AB30">
        <v>7.8432330720819468E-2</v>
      </c>
      <c r="AC30">
        <v>0.66839668448011358</v>
      </c>
      <c r="AD30">
        <v>3.2323635563982739E-2</v>
      </c>
      <c r="AE30">
        <v>-1.7032678410775379</v>
      </c>
      <c r="AF30">
        <v>0</v>
      </c>
      <c r="AG30">
        <v>-1.1603107982298946</v>
      </c>
      <c r="AH30">
        <v>0.53204939394162887</v>
      </c>
      <c r="AI30">
        <v>1.7768540874298704</v>
      </c>
      <c r="AJ30"/>
      <c r="AK30"/>
      <c r="AL30"/>
      <c r="AM30"/>
      <c r="AN30"/>
      <c r="AO30"/>
      <c r="AP30"/>
      <c r="AQ30"/>
      <c r="AR30"/>
      <c r="AS30" s="65"/>
      <c r="AT30" s="65"/>
    </row>
    <row r="31" spans="1:46" x14ac:dyDescent="0.25">
      <c r="A31" s="65" t="s">
        <v>341</v>
      </c>
      <c r="B31" s="117">
        <v>46104.875</v>
      </c>
      <c r="C31" s="66">
        <v>46104</v>
      </c>
      <c r="D31" s="65">
        <v>21</v>
      </c>
      <c r="E31" s="67">
        <v>28.6728928357633</v>
      </c>
      <c r="F31" s="67">
        <v>49.163914470106754</v>
      </c>
      <c r="G31" s="67">
        <v>1004.3493878304541</v>
      </c>
      <c r="H31" s="67">
        <v>20.656074545657688</v>
      </c>
      <c r="I31" s="65" t="s">
        <v>265</v>
      </c>
      <c r="J31" s="68">
        <v>20.761640216259956</v>
      </c>
      <c r="K31">
        <v>78.847957870224988</v>
      </c>
      <c r="L31" s="68">
        <v>0.98683197413460688</v>
      </c>
      <c r="M31" s="68" t="s">
        <v>200</v>
      </c>
      <c r="N31" s="68">
        <v>553.91217746582026</v>
      </c>
      <c r="O31" s="68">
        <v>1027.8149535841196</v>
      </c>
      <c r="P31" s="68">
        <v>119.59233264756946</v>
      </c>
      <c r="Q31" s="68">
        <v>10397.204539721773</v>
      </c>
      <c r="R31" s="69">
        <v>0.32817859713773678</v>
      </c>
      <c r="S31" s="68">
        <v>114.21471570605836</v>
      </c>
      <c r="T31" s="68">
        <v>10527.973157462789</v>
      </c>
      <c r="U31" s="69">
        <v>0.32410227011087056</v>
      </c>
      <c r="V31" s="68">
        <v>11.08738337974745</v>
      </c>
      <c r="W31" s="69">
        <v>0.85729079323578805</v>
      </c>
      <c r="X31" s="68">
        <v>559.53510946455322</v>
      </c>
      <c r="Y31" s="68">
        <v>423.49450968805968</v>
      </c>
      <c r="Z31"/>
      <c r="AA31">
        <v>-4.8893604049177926</v>
      </c>
      <c r="AB31">
        <v>2.5419092075582621E-2</v>
      </c>
      <c r="AC31">
        <v>-0.26025377678403783</v>
      </c>
      <c r="AD31">
        <v>1.2048738150656286E-2</v>
      </c>
      <c r="AE31">
        <v>-0.61668516165642051</v>
      </c>
      <c r="AF31">
        <v>0</v>
      </c>
      <c r="AG31">
        <v>-0.3851821447048675</v>
      </c>
      <c r="AH31">
        <v>0.1286679261217715</v>
      </c>
      <c r="AI31">
        <v>0.58985270952226687</v>
      </c>
      <c r="AJ31">
        <v>99.695357500007987</v>
      </c>
      <c r="AK31">
        <v>-15.709884401249377</v>
      </c>
      <c r="AL31">
        <v>4.5270182992765946</v>
      </c>
      <c r="AM31">
        <v>7.8030584509880478</v>
      </c>
      <c r="AN31">
        <v>17.762550458394699</v>
      </c>
      <c r="AO31">
        <v>0</v>
      </c>
      <c r="AP31">
        <v>33.52854843858151</v>
      </c>
      <c r="AQ31">
        <v>-6.3582434446758512E-2</v>
      </c>
      <c r="AR31">
        <v>-17.016202763719562</v>
      </c>
      <c r="AS31" s="65"/>
      <c r="AT31" s="65"/>
    </row>
    <row r="32" spans="1:46" x14ac:dyDescent="0.25">
      <c r="A32" s="65" t="s">
        <v>341</v>
      </c>
      <c r="B32" s="117">
        <v>46104.875</v>
      </c>
      <c r="C32" s="66">
        <v>46104</v>
      </c>
      <c r="D32" s="65">
        <v>21</v>
      </c>
      <c r="E32" s="67">
        <v>28.6728928357633</v>
      </c>
      <c r="F32" s="67">
        <v>49.163914470106754</v>
      </c>
      <c r="G32" s="67">
        <v>1004.3493878304541</v>
      </c>
      <c r="H32" s="67">
        <v>20.656074545657688</v>
      </c>
      <c r="I32" s="65" t="s">
        <v>268</v>
      </c>
      <c r="J32" s="68">
        <v>21.004842422191299</v>
      </c>
      <c r="K32">
        <v>77.677787015579327</v>
      </c>
      <c r="L32" s="68">
        <v>0.95649547439985494</v>
      </c>
      <c r="M32" s="68" t="s">
        <v>200</v>
      </c>
      <c r="N32" s="68">
        <v>545.14381872378897</v>
      </c>
      <c r="O32" s="68">
        <v>996.36917496601257</v>
      </c>
      <c r="P32" s="68">
        <v>119.22652314236107</v>
      </c>
      <c r="Q32" s="68">
        <v>10110.028887947457</v>
      </c>
      <c r="R32" s="69">
        <v>0.33750051931777753</v>
      </c>
      <c r="S32" s="68">
        <v>114.42634176652381</v>
      </c>
      <c r="T32" s="68">
        <v>10223.050277607492</v>
      </c>
      <c r="U32" s="69">
        <v>0.3337692672287772</v>
      </c>
      <c r="V32" s="68">
        <v>11.177090025751005</v>
      </c>
      <c r="W32" s="69">
        <v>0.871172291387044</v>
      </c>
      <c r="X32" s="68">
        <v>550.2034714764103</v>
      </c>
      <c r="Y32" s="68">
        <v>414.61809272654341</v>
      </c>
      <c r="Z32"/>
      <c r="AA32">
        <v>-4.7013818869584325</v>
      </c>
      <c r="AB32">
        <v>2.4912834256588922E-2</v>
      </c>
      <c r="AC32">
        <v>-0.26296936414735339</v>
      </c>
      <c r="AD32">
        <v>1.2247285779571992E-2</v>
      </c>
      <c r="AE32">
        <v>-0.20683092315213303</v>
      </c>
      <c r="AF32">
        <v>0</v>
      </c>
      <c r="AG32">
        <v>-0.38400394802076382</v>
      </c>
      <c r="AH32">
        <v>0.12830336720768801</v>
      </c>
      <c r="AI32">
        <v>0.58804846569626812</v>
      </c>
      <c r="AJ32">
        <v>93.794525332005904</v>
      </c>
      <c r="AK32">
        <v>-14.929305157220393</v>
      </c>
      <c r="AL32">
        <v>4.4762366648322578</v>
      </c>
      <c r="AM32">
        <v>7.7549305261278487</v>
      </c>
      <c r="AN32">
        <v>5.8174480534861797</v>
      </c>
      <c r="AO32">
        <v>0</v>
      </c>
      <c r="AP32">
        <v>32.602474250648484</v>
      </c>
      <c r="AQ32">
        <v>-6.0693305812389964E-2</v>
      </c>
      <c r="AR32">
        <v>-16.546207285538287</v>
      </c>
      <c r="AS32" s="65"/>
      <c r="AT32" s="65"/>
    </row>
    <row r="33" spans="1:46" x14ac:dyDescent="0.25">
      <c r="A33" s="65" t="s">
        <v>341</v>
      </c>
      <c r="B33" s="117">
        <v>46104.875</v>
      </c>
      <c r="C33" s="66">
        <v>46104</v>
      </c>
      <c r="D33" s="65">
        <v>21</v>
      </c>
      <c r="E33" s="67">
        <v>28.6728928357633</v>
      </c>
      <c r="F33" s="67">
        <v>49.163914470106754</v>
      </c>
      <c r="G33" s="67">
        <v>1004.3493878304541</v>
      </c>
      <c r="H33" s="67">
        <v>20.656074545657688</v>
      </c>
      <c r="I33" s="65" t="s">
        <v>269</v>
      </c>
      <c r="J33" s="68">
        <v>21.006471615484028</v>
      </c>
      <c r="K33">
        <v>77.670014350237466</v>
      </c>
      <c r="L33" s="68">
        <v>0.95629225246893756</v>
      </c>
      <c r="M33" s="68" t="s">
        <v>200</v>
      </c>
      <c r="N33" s="68">
        <v>546.20490494303385</v>
      </c>
      <c r="O33" s="68">
        <v>994.46396228322737</v>
      </c>
      <c r="P33" s="68">
        <v>124.8589885329861</v>
      </c>
      <c r="Q33" s="68">
        <v>9635.4994268832797</v>
      </c>
      <c r="R33" s="69">
        <v>0.35412175838857357</v>
      </c>
      <c r="S33" s="68">
        <v>119.22446657777135</v>
      </c>
      <c r="T33" s="68">
        <v>9759.446152690487</v>
      </c>
      <c r="U33" s="69">
        <v>0.34962434820743798</v>
      </c>
      <c r="V33" s="68">
        <v>11.354630379411748</v>
      </c>
      <c r="W33" s="69">
        <v>0.87636259938399597</v>
      </c>
      <c r="X33" s="68">
        <v>551.86023992763967</v>
      </c>
      <c r="Y33" s="68">
        <v>421.31261979565704</v>
      </c>
      <c r="Z33"/>
      <c r="AA33">
        <v>-4.9222675559302784</v>
      </c>
      <c r="AB33">
        <v>2.6086650170273638E-2</v>
      </c>
      <c r="AC33">
        <v>-0.27988162399379723</v>
      </c>
      <c r="AD33">
        <v>1.2732677529324721E-2</v>
      </c>
      <c r="AE33">
        <v>-0.84525608229231808</v>
      </c>
      <c r="AF33">
        <v>0</v>
      </c>
      <c r="AG33">
        <v>-0.40214495297574143</v>
      </c>
      <c r="AH33">
        <v>0.13436484180001956</v>
      </c>
      <c r="AI33">
        <v>0.61582888354079035</v>
      </c>
      <c r="AJ33">
        <v>89.372050695241782</v>
      </c>
      <c r="AK33">
        <v>-14.226332592889012</v>
      </c>
      <c r="AL33">
        <v>4.3359608200347415</v>
      </c>
      <c r="AM33">
        <v>7.3306313814436752</v>
      </c>
      <c r="AN33">
        <v>21.612504269092959</v>
      </c>
      <c r="AO33">
        <v>0</v>
      </c>
      <c r="AP33">
        <v>31.072227927221821</v>
      </c>
      <c r="AQ33">
        <v>-5.7837340589237264E-2</v>
      </c>
      <c r="AR33">
        <v>-15.769586079715332</v>
      </c>
      <c r="AS33" s="65"/>
      <c r="AT33" s="65"/>
    </row>
    <row r="34" spans="1:46" hidden="1" x14ac:dyDescent="0.25">
      <c r="A34" s="65" t="s">
        <v>341</v>
      </c>
      <c r="B34" s="117">
        <v>46104.875</v>
      </c>
      <c r="C34" s="66">
        <v>46104</v>
      </c>
      <c r="D34" s="65">
        <v>21</v>
      </c>
      <c r="I34" s="65" t="s">
        <v>286</v>
      </c>
      <c r="K34"/>
      <c r="O34" s="68">
        <v>3018.6480908333597</v>
      </c>
      <c r="P34" s="68">
        <v>363.6778443229166</v>
      </c>
      <c r="Q34" s="68"/>
      <c r="R34" s="69"/>
      <c r="S34" s="68">
        <v>347.86552405035354</v>
      </c>
      <c r="T34" s="68"/>
      <c r="U34" s="69"/>
      <c r="W34" s="69"/>
      <c r="Z34"/>
      <c r="AA34">
        <v>-14.513009847806504</v>
      </c>
      <c r="AB34">
        <v>7.6418576502445185E-2</v>
      </c>
      <c r="AC34">
        <v>-0.80310476492518845</v>
      </c>
      <c r="AD34">
        <v>3.7028701459552997E-2</v>
      </c>
      <c r="AE34">
        <v>-1.6687721671008715</v>
      </c>
      <c r="AF34">
        <v>0</v>
      </c>
      <c r="AG34">
        <v>-1.1713310457013728</v>
      </c>
      <c r="AH34">
        <v>0.39133613512947907</v>
      </c>
      <c r="AI34">
        <v>1.7937300587593255</v>
      </c>
      <c r="AJ34"/>
      <c r="AK34"/>
      <c r="AL34"/>
      <c r="AM34"/>
      <c r="AN34"/>
      <c r="AO34"/>
      <c r="AP34"/>
      <c r="AQ34"/>
      <c r="AR34"/>
      <c r="AS34" s="65"/>
      <c r="AT34" s="65"/>
    </row>
    <row r="35" spans="1:46" x14ac:dyDescent="0.25">
      <c r="A35" s="65" t="s">
        <v>341</v>
      </c>
      <c r="B35" s="117">
        <v>46104.916666666664</v>
      </c>
      <c r="C35" s="66">
        <v>46104</v>
      </c>
      <c r="D35" s="65">
        <v>22</v>
      </c>
      <c r="E35" s="67">
        <v>27.824847182261152</v>
      </c>
      <c r="F35" s="67">
        <v>51.189621636301688</v>
      </c>
      <c r="G35" s="67">
        <v>1004.945462638482</v>
      </c>
      <c r="H35" s="67">
        <v>20.326374533247098</v>
      </c>
      <c r="I35" s="65" t="s">
        <v>265</v>
      </c>
      <c r="J35" s="68">
        <v>20.4478228799661</v>
      </c>
      <c r="K35">
        <v>79.674353369044127</v>
      </c>
      <c r="L35" s="68">
        <v>0.98380358875684215</v>
      </c>
      <c r="M35" s="68" t="s">
        <v>200</v>
      </c>
      <c r="N35" s="68">
        <v>546.68666421147657</v>
      </c>
      <c r="O35" s="68">
        <v>1040.3846684690366</v>
      </c>
      <c r="P35" s="68">
        <v>120.04106123697916</v>
      </c>
      <c r="Q35" s="68">
        <v>10485.016304672648</v>
      </c>
      <c r="R35" s="69">
        <v>0.32543010910525522</v>
      </c>
      <c r="S35" s="68">
        <v>114.3437376777586</v>
      </c>
      <c r="T35" s="68">
        <v>10620.534566533815</v>
      </c>
      <c r="U35" s="69">
        <v>0.32127761353481543</v>
      </c>
      <c r="V35" s="68">
        <v>11.150204749316206</v>
      </c>
      <c r="W35" s="69">
        <v>0.86793617750653895</v>
      </c>
      <c r="X35" s="68">
        <v>552.68293233881184</v>
      </c>
      <c r="Y35" s="68">
        <v>423.17596908369489</v>
      </c>
      <c r="Z35"/>
      <c r="AA35">
        <v>-5.1317161169580476</v>
      </c>
      <c r="AB35">
        <v>2.5405952824992948E-2</v>
      </c>
      <c r="AC35">
        <v>-0.30288790815859878</v>
      </c>
      <c r="AD35">
        <v>1.0939844303964935E-2</v>
      </c>
      <c r="AE35">
        <v>-0.60695643482121364</v>
      </c>
      <c r="AF35">
        <v>0</v>
      </c>
      <c r="AG35">
        <v>-0.38662740659275602</v>
      </c>
      <c r="AH35">
        <v>7.9765615095283057E-2</v>
      </c>
      <c r="AI35">
        <v>0.59206592644381839</v>
      </c>
      <c r="AJ35">
        <v>104.75196414950608</v>
      </c>
      <c r="AK35">
        <v>-15.92722194483407</v>
      </c>
      <c r="AL35">
        <v>5.2729716587967248</v>
      </c>
      <c r="AM35">
        <v>7.0236784480883161</v>
      </c>
      <c r="AN35">
        <v>17.53602475304632</v>
      </c>
      <c r="AO35">
        <v>0</v>
      </c>
      <c r="AP35">
        <v>33.81172080509451</v>
      </c>
      <c r="AQ35">
        <v>-4.0566201712763809E-2</v>
      </c>
      <c r="AR35">
        <v>-17.15991666217521</v>
      </c>
      <c r="AS35" s="65"/>
      <c r="AT35" s="65"/>
    </row>
    <row r="36" spans="1:46" x14ac:dyDescent="0.25">
      <c r="A36" s="65" t="s">
        <v>341</v>
      </c>
      <c r="B36" s="117">
        <v>46104.916666666664</v>
      </c>
      <c r="C36" s="66">
        <v>46104</v>
      </c>
      <c r="D36" s="65">
        <v>22</v>
      </c>
      <c r="E36" s="67">
        <v>27.824847182261152</v>
      </c>
      <c r="F36" s="67">
        <v>51.189621636301688</v>
      </c>
      <c r="G36" s="67">
        <v>1004.945462638482</v>
      </c>
      <c r="H36" s="67">
        <v>20.326374533247098</v>
      </c>
      <c r="I36" s="65" t="s">
        <v>268</v>
      </c>
      <c r="J36" s="68">
        <v>20.682344847011567</v>
      </c>
      <c r="K36">
        <v>78.531021549810816</v>
      </c>
      <c r="L36" s="68">
        <v>0.95252762390067869</v>
      </c>
      <c r="M36" s="68" t="s">
        <v>200</v>
      </c>
      <c r="N36" s="68">
        <v>543.5319360187616</v>
      </c>
      <c r="O36" s="68">
        <v>1013.9573428028827</v>
      </c>
      <c r="P36" s="68">
        <v>119.5446637326389</v>
      </c>
      <c r="Q36" s="68">
        <v>10261.113290970792</v>
      </c>
      <c r="R36" s="69">
        <v>0.33253116920583004</v>
      </c>
      <c r="S36" s="68">
        <v>114.42812629035571</v>
      </c>
      <c r="T36" s="68">
        <v>10379.290650937544</v>
      </c>
      <c r="U36" s="69">
        <v>0.32874500914875016</v>
      </c>
      <c r="V36" s="68">
        <v>11.241577118339118</v>
      </c>
      <c r="W36" s="69">
        <v>0.87295146632748499</v>
      </c>
      <c r="X36" s="68">
        <v>548.96847112638466</v>
      </c>
      <c r="Y36" s="68">
        <v>414.50273965749557</v>
      </c>
      <c r="Z36"/>
      <c r="AA36">
        <v>-4.9438624179762884</v>
      </c>
      <c r="AB36">
        <v>2.4919573527248419E-2</v>
      </c>
      <c r="AC36">
        <v>-0.30759227824811697</v>
      </c>
      <c r="AD36">
        <v>1.1009946000319862E-2</v>
      </c>
      <c r="AE36">
        <v>-0.18999164275447442</v>
      </c>
      <c r="AF36">
        <v>0</v>
      </c>
      <c r="AG36">
        <v>-0.38502861299859314</v>
      </c>
      <c r="AH36">
        <v>7.9453088090535751E-2</v>
      </c>
      <c r="AI36">
        <v>0.58961759713663731</v>
      </c>
      <c r="AJ36">
        <v>99.432319378657752</v>
      </c>
      <c r="AK36">
        <v>-15.259436077798535</v>
      </c>
      <c r="AL36">
        <v>5.2794030690690903</v>
      </c>
      <c r="AM36">
        <v>6.9567019680693116</v>
      </c>
      <c r="AN36">
        <v>5.3979874693065826</v>
      </c>
      <c r="AO36">
        <v>0</v>
      </c>
      <c r="AP36">
        <v>33.089686049332364</v>
      </c>
      <c r="AQ36">
        <v>-3.9014604407545561E-2</v>
      </c>
      <c r="AR36">
        <v>-16.793474022136447</v>
      </c>
      <c r="AS36" s="65"/>
      <c r="AT36" s="65"/>
    </row>
    <row r="37" spans="1:46" x14ac:dyDescent="0.25">
      <c r="A37" s="65" t="s">
        <v>341</v>
      </c>
      <c r="B37" s="117">
        <v>46104.916666666664</v>
      </c>
      <c r="C37" s="66">
        <v>46104</v>
      </c>
      <c r="D37" s="65">
        <v>22</v>
      </c>
      <c r="E37" s="67">
        <v>27.824847182261152</v>
      </c>
      <c r="F37" s="67">
        <v>51.189621636301688</v>
      </c>
      <c r="G37" s="67">
        <v>1004.945462638482</v>
      </c>
      <c r="H37" s="67">
        <v>20.326374533247098</v>
      </c>
      <c r="I37" s="65" t="s">
        <v>269</v>
      </c>
      <c r="J37" s="68">
        <v>20.601536260794003</v>
      </c>
      <c r="K37">
        <v>78.922877274801778</v>
      </c>
      <c r="L37" s="68">
        <v>0.96330429669793016</v>
      </c>
      <c r="M37" s="68" t="s">
        <v>200</v>
      </c>
      <c r="N37" s="68">
        <v>550.30806404344332</v>
      </c>
      <c r="O37" s="68">
        <v>1019.2964831092521</v>
      </c>
      <c r="P37" s="68">
        <v>125.49074146701392</v>
      </c>
      <c r="Q37" s="68">
        <v>9826.3862951027568</v>
      </c>
      <c r="R37" s="69">
        <v>0.34724260755966119</v>
      </c>
      <c r="S37" s="68">
        <v>119.43897627521618</v>
      </c>
      <c r="T37" s="68">
        <v>9957.3528540608477</v>
      </c>
      <c r="U37" s="69">
        <v>0.34267541283408948</v>
      </c>
      <c r="V37" s="68">
        <v>11.37602441252421</v>
      </c>
      <c r="W37" s="69">
        <v>0.86537260014001505</v>
      </c>
      <c r="X37" s="68">
        <v>556.40636807890553</v>
      </c>
      <c r="Y37" s="68">
        <v>421.22086864938979</v>
      </c>
      <c r="Z37"/>
      <c r="AA37">
        <v>-5.2500966507114732</v>
      </c>
      <c r="AB37">
        <v>2.6300313244956644E-2</v>
      </c>
      <c r="AC37">
        <v>-0.32256909375204407</v>
      </c>
      <c r="AD37">
        <v>1.1473899424830444E-2</v>
      </c>
      <c r="AE37">
        <v>-0.84734893346920426</v>
      </c>
      <c r="AF37">
        <v>0</v>
      </c>
      <c r="AG37">
        <v>-0.40417969838679996</v>
      </c>
      <c r="AH37">
        <v>8.3398770064152347E-2</v>
      </c>
      <c r="AI37">
        <v>0.61894481222647868</v>
      </c>
      <c r="AJ37">
        <v>96.236725865083386</v>
      </c>
      <c r="AK37">
        <v>-14.722050350529068</v>
      </c>
      <c r="AL37">
        <v>5.0451433966962362</v>
      </c>
      <c r="AM37">
        <v>6.6070339589645473</v>
      </c>
      <c r="AN37">
        <v>21.937775111499811</v>
      </c>
      <c r="AO37">
        <v>0</v>
      </c>
      <c r="AP37">
        <v>31.687793349921211</v>
      </c>
      <c r="AQ37">
        <v>-3.7587829543692372E-2</v>
      </c>
      <c r="AR37">
        <v>-16.081994058431597</v>
      </c>
      <c r="AS37" s="65"/>
      <c r="AT37" s="65"/>
    </row>
    <row r="38" spans="1:46" hidden="1" x14ac:dyDescent="0.25">
      <c r="A38" s="65" t="s">
        <v>341</v>
      </c>
      <c r="B38" s="117">
        <v>46104.916666666664</v>
      </c>
      <c r="C38" s="66">
        <v>46104</v>
      </c>
      <c r="D38" s="65">
        <v>22</v>
      </c>
      <c r="I38" s="65" t="s">
        <v>286</v>
      </c>
      <c r="K38"/>
      <c r="O38" s="68">
        <v>3073.6384943811718</v>
      </c>
      <c r="P38" s="68">
        <v>365.07646643663202</v>
      </c>
      <c r="Q38" s="68"/>
      <c r="R38" s="69"/>
      <c r="S38" s="68">
        <v>348.21084024333049</v>
      </c>
      <c r="T38" s="68"/>
      <c r="U38" s="69"/>
      <c r="W38" s="69"/>
      <c r="Z38"/>
      <c r="AA38">
        <v>-15.32567518564581</v>
      </c>
      <c r="AB38">
        <v>7.6625839597198014E-2</v>
      </c>
      <c r="AC38">
        <v>-0.93304928015875976</v>
      </c>
      <c r="AD38">
        <v>3.342368972911524E-2</v>
      </c>
      <c r="AE38">
        <v>-1.6442970110448925</v>
      </c>
      <c r="AF38">
        <v>0</v>
      </c>
      <c r="AG38">
        <v>-1.1758357179781491</v>
      </c>
      <c r="AH38">
        <v>0.24261747324997118</v>
      </c>
      <c r="AI38">
        <v>1.8006283358069344</v>
      </c>
      <c r="AJ38"/>
      <c r="AK38"/>
      <c r="AL38"/>
      <c r="AM38"/>
      <c r="AN38"/>
      <c r="AO38"/>
      <c r="AP38"/>
      <c r="AQ38"/>
      <c r="AR38"/>
      <c r="AS38" s="65"/>
      <c r="AT38" s="65"/>
    </row>
    <row r="39" spans="1:46" x14ac:dyDescent="0.25">
      <c r="A39" s="65" t="s">
        <v>341</v>
      </c>
      <c r="B39" s="117">
        <v>46104.958333333336</v>
      </c>
      <c r="C39" s="66">
        <v>46104</v>
      </c>
      <c r="D39" s="65">
        <v>23</v>
      </c>
      <c r="E39" s="67">
        <v>27.120024753725254</v>
      </c>
      <c r="F39" s="67">
        <v>52.160187670031654</v>
      </c>
      <c r="G39" s="67">
        <v>1004.9724312379624</v>
      </c>
      <c r="H39" s="67">
        <v>19.912341190917477</v>
      </c>
      <c r="I39" s="65" t="s">
        <v>265</v>
      </c>
      <c r="J39" s="68">
        <v>20.219050443618563</v>
      </c>
      <c r="K39">
        <v>79.016196002956391</v>
      </c>
      <c r="L39" s="68">
        <v>0.95744690370652086</v>
      </c>
      <c r="M39" s="68" t="s">
        <v>200</v>
      </c>
      <c r="N39" s="68">
        <v>553.78644466825699</v>
      </c>
      <c r="O39" s="68">
        <v>1039.1953465354302</v>
      </c>
      <c r="P39" s="68">
        <v>120.08347398871528</v>
      </c>
      <c r="Q39" s="68">
        <v>10469.331285279315</v>
      </c>
      <c r="R39" s="69">
        <v>0.32591766436866232</v>
      </c>
      <c r="S39" s="68">
        <v>114.67600269014483</v>
      </c>
      <c r="T39" s="68">
        <v>10599.943025599438</v>
      </c>
      <c r="U39" s="69">
        <v>0.32190173020359608</v>
      </c>
      <c r="V39" s="68">
        <v>11.094401863847546</v>
      </c>
      <c r="W39" s="69">
        <v>0.85896123854497897</v>
      </c>
      <c r="X39" s="68">
        <v>559.13155298572849</v>
      </c>
      <c r="Y39" s="68">
        <v>423.96387757334514</v>
      </c>
      <c r="Z39"/>
      <c r="AA39">
        <v>-5.2963412409481441</v>
      </c>
      <c r="AB39">
        <v>2.423450601976666E-2</v>
      </c>
      <c r="AC39">
        <v>0.18720317901672559</v>
      </c>
      <c r="AD39">
        <v>1.1038126834013735E-2</v>
      </c>
      <c r="AE39">
        <v>-0.61799624616393845</v>
      </c>
      <c r="AF39">
        <v>0</v>
      </c>
      <c r="AG39">
        <v>-0.38676400928554483</v>
      </c>
      <c r="AH39">
        <v>7.7544812500958252E-2</v>
      </c>
      <c r="AI39">
        <v>0.59227511440742786</v>
      </c>
      <c r="AJ39">
        <v>107.66522147039203</v>
      </c>
      <c r="AK39">
        <v>-15.319790025906935</v>
      </c>
      <c r="AL39">
        <v>-3.3609105017803245</v>
      </c>
      <c r="AM39">
        <v>7.0821917304555067</v>
      </c>
      <c r="AN39">
        <v>17.79761067520511</v>
      </c>
      <c r="AO39">
        <v>0</v>
      </c>
      <c r="AP39">
        <v>33.761140292757723</v>
      </c>
      <c r="AQ39">
        <v>-4.0035997764669554E-2</v>
      </c>
      <c r="AR39">
        <v>-17.13424635153256</v>
      </c>
      <c r="AS39" s="65"/>
      <c r="AT39" s="65"/>
    </row>
    <row r="40" spans="1:46" x14ac:dyDescent="0.25">
      <c r="A40" s="65" t="s">
        <v>341</v>
      </c>
      <c r="B40" s="117">
        <v>46104.958333333336</v>
      </c>
      <c r="C40" s="66">
        <v>46104</v>
      </c>
      <c r="D40" s="65">
        <v>23</v>
      </c>
      <c r="E40" s="67">
        <v>27.120024753725254</v>
      </c>
      <c r="F40" s="67">
        <v>52.160187670031654</v>
      </c>
      <c r="G40" s="67">
        <v>1004.9724312379624</v>
      </c>
      <c r="H40" s="67">
        <v>19.912341190917477</v>
      </c>
      <c r="I40" s="65" t="s">
        <v>268</v>
      </c>
      <c r="J40" s="68">
        <v>20.438806672732035</v>
      </c>
      <c r="K40">
        <v>77.951280591766533</v>
      </c>
      <c r="L40" s="68">
        <v>0.92695774207802883</v>
      </c>
      <c r="M40" s="68" t="s">
        <v>200</v>
      </c>
      <c r="N40" s="68">
        <v>546.48118446741739</v>
      </c>
      <c r="O40" s="68">
        <v>1008.2135052691647</v>
      </c>
      <c r="P40" s="68">
        <v>118.46427379774308</v>
      </c>
      <c r="Q40" s="68">
        <v>10296.037290763834</v>
      </c>
      <c r="R40" s="69">
        <v>0.33140322860532906</v>
      </c>
      <c r="S40" s="68">
        <v>113.6772529363172</v>
      </c>
      <c r="T40" s="68">
        <v>10410.115873358152</v>
      </c>
      <c r="U40" s="69">
        <v>0.32777156772408655</v>
      </c>
      <c r="V40" s="68">
        <v>11.18493330459706</v>
      </c>
      <c r="W40" s="69">
        <v>0.86611115968448005</v>
      </c>
      <c r="X40" s="68">
        <v>551.27000831403029</v>
      </c>
      <c r="Y40" s="68">
        <v>415.93101239365234</v>
      </c>
      <c r="Z40"/>
      <c r="AA40">
        <v>-5.0706476960346132</v>
      </c>
      <c r="AB40">
        <v>2.3568726021236809E-2</v>
      </c>
      <c r="AC40">
        <v>0.18300709009333055</v>
      </c>
      <c r="AD40">
        <v>1.1061323429931083E-2</v>
      </c>
      <c r="AE40">
        <v>-0.19856476582239399</v>
      </c>
      <c r="AF40">
        <v>0</v>
      </c>
      <c r="AG40">
        <v>-0.38154890068737768</v>
      </c>
      <c r="AH40">
        <v>7.6514836308368819E-2</v>
      </c>
      <c r="AI40">
        <v>0.58428890326194816</v>
      </c>
      <c r="AJ40">
        <v>102.98289901611058</v>
      </c>
      <c r="AK40">
        <v>-14.765340697279182</v>
      </c>
      <c r="AL40">
        <v>-3.28042841157052</v>
      </c>
      <c r="AM40">
        <v>7.0903337477122657</v>
      </c>
      <c r="AN40">
        <v>5.7048148935228618</v>
      </c>
      <c r="AO40">
        <v>0</v>
      </c>
      <c r="AP40">
        <v>33.202307765511598</v>
      </c>
      <c r="AQ40">
        <v>-3.8746956263314217E-2</v>
      </c>
      <c r="AR40">
        <v>-16.850631103112214</v>
      </c>
      <c r="AS40" s="65"/>
      <c r="AT40" s="65"/>
    </row>
    <row r="41" spans="1:46" x14ac:dyDescent="0.25">
      <c r="A41" s="65" t="s">
        <v>341</v>
      </c>
      <c r="B41" s="117">
        <v>46104.958333333336</v>
      </c>
      <c r="C41" s="66">
        <v>46104</v>
      </c>
      <c r="D41" s="65">
        <v>23</v>
      </c>
      <c r="E41" s="67">
        <v>27.120024753725254</v>
      </c>
      <c r="F41" s="67">
        <v>52.160187670031654</v>
      </c>
      <c r="G41" s="67">
        <v>1004.9724312379624</v>
      </c>
      <c r="H41" s="67">
        <v>19.912341190917477</v>
      </c>
      <c r="I41" s="65" t="s">
        <v>269</v>
      </c>
      <c r="J41" s="68">
        <v>20.241056337750756</v>
      </c>
      <c r="K41">
        <v>78.908823238191644</v>
      </c>
      <c r="L41" s="68">
        <v>0.954393787689366</v>
      </c>
      <c r="M41" s="68" t="s">
        <v>200</v>
      </c>
      <c r="N41" s="68">
        <v>550.94013699150935</v>
      </c>
      <c r="O41" s="68">
        <v>1021.547391347546</v>
      </c>
      <c r="P41" s="68">
        <v>125.16463278211805</v>
      </c>
      <c r="Q41" s="68">
        <v>9873.7444403047411</v>
      </c>
      <c r="R41" s="69">
        <v>0.34557710305642553</v>
      </c>
      <c r="S41" s="68">
        <v>119.34642715654414</v>
      </c>
      <c r="T41" s="68">
        <v>10002.104032833164</v>
      </c>
      <c r="U41" s="69">
        <v>0.34114222255629628</v>
      </c>
      <c r="V41" s="68">
        <v>11.330926278286666</v>
      </c>
      <c r="W41" s="69">
        <v>0.86504481264501998</v>
      </c>
      <c r="X41" s="68">
        <v>556.46962798112509</v>
      </c>
      <c r="Y41" s="68">
        <v>422.73816069888642</v>
      </c>
      <c r="Z41"/>
      <c r="AA41">
        <v>-5.5041454154744507</v>
      </c>
      <c r="AB41">
        <v>2.5225263336050789E-2</v>
      </c>
      <c r="AC41">
        <v>0.18757123901303541</v>
      </c>
      <c r="AD41">
        <v>1.1629069746868127E-2</v>
      </c>
      <c r="AE41">
        <v>-0.84320778526455198</v>
      </c>
      <c r="AF41">
        <v>0</v>
      </c>
      <c r="AG41">
        <v>-0.40312936982581066</v>
      </c>
      <c r="AH41">
        <v>8.0827663425863991E-2</v>
      </c>
      <c r="AI41">
        <v>0.61733638058938178</v>
      </c>
      <c r="AJ41">
        <v>101.26170810595465</v>
      </c>
      <c r="AK41">
        <v>-14.419725084696291</v>
      </c>
      <c r="AL41">
        <v>-3.0477053446953288</v>
      </c>
      <c r="AM41">
        <v>6.7612354484102406</v>
      </c>
      <c r="AN41">
        <v>21.951470028189142</v>
      </c>
      <c r="AO41">
        <v>0</v>
      </c>
      <c r="AP41">
        <v>31.840512271560183</v>
      </c>
      <c r="AQ41">
        <v>-3.7698252945188734E-2</v>
      </c>
      <c r="AR41">
        <v>-16.159501026597116</v>
      </c>
      <c r="AS41" s="65"/>
      <c r="AT41" s="65"/>
    </row>
    <row r="42" spans="1:46" hidden="1" x14ac:dyDescent="0.25">
      <c r="A42" s="65" t="s">
        <v>341</v>
      </c>
      <c r="B42" s="117">
        <v>46104.958333333336</v>
      </c>
      <c r="C42" s="66">
        <v>46104</v>
      </c>
      <c r="D42" s="65">
        <v>23</v>
      </c>
      <c r="I42" s="65" t="s">
        <v>286</v>
      </c>
      <c r="K42"/>
      <c r="O42" s="68">
        <v>3068.9562431521408</v>
      </c>
      <c r="P42" s="68">
        <v>363.71238056857641</v>
      </c>
      <c r="Q42" s="68"/>
      <c r="R42" s="69"/>
      <c r="S42" s="68">
        <v>347.69968278300621</v>
      </c>
      <c r="T42" s="68"/>
      <c r="U42" s="69"/>
      <c r="W42" s="69"/>
      <c r="Z42"/>
      <c r="AA42">
        <v>-15.871134352457208</v>
      </c>
      <c r="AB42">
        <v>7.3028495377054248E-2</v>
      </c>
      <c r="AC42">
        <v>0.55778150812309157</v>
      </c>
      <c r="AD42">
        <v>3.3728520010812946E-2</v>
      </c>
      <c r="AE42">
        <v>-1.6597687972508846</v>
      </c>
      <c r="AF42">
        <v>0</v>
      </c>
      <c r="AG42">
        <v>-1.1714422797987332</v>
      </c>
      <c r="AH42">
        <v>0.23488731223519105</v>
      </c>
      <c r="AI42">
        <v>1.7939003982587578</v>
      </c>
      <c r="AJ42"/>
      <c r="AK42"/>
      <c r="AL42"/>
      <c r="AM42"/>
      <c r="AN42"/>
      <c r="AO42"/>
      <c r="AP42"/>
      <c r="AQ42"/>
      <c r="AR42"/>
      <c r="AS42" s="65"/>
      <c r="AT42" s="65"/>
    </row>
    <row r="43" spans="1:46" x14ac:dyDescent="0.25">
      <c r="A43" s="65" t="s">
        <v>341</v>
      </c>
      <c r="B43" s="117">
        <v>46105</v>
      </c>
      <c r="C43" s="66">
        <v>46104</v>
      </c>
      <c r="D43" s="65">
        <v>24</v>
      </c>
      <c r="E43" s="67">
        <v>26.399903558019009</v>
      </c>
      <c r="F43" s="67">
        <v>54.048312750688126</v>
      </c>
      <c r="G43" s="67">
        <v>1004.8277911404076</v>
      </c>
      <c r="H43" s="67">
        <v>19.632085498500338</v>
      </c>
      <c r="I43" s="65" t="s">
        <v>265</v>
      </c>
      <c r="J43" s="68">
        <v>19.748807104845046</v>
      </c>
      <c r="K43">
        <v>80.801881963036905</v>
      </c>
      <c r="L43" s="68">
        <v>0.98275343614172028</v>
      </c>
      <c r="M43" s="68" t="s">
        <v>200</v>
      </c>
      <c r="N43" s="68">
        <v>553.04683476935486</v>
      </c>
      <c r="O43" s="68">
        <v>1060.367605325599</v>
      </c>
      <c r="P43" s="68">
        <v>120.8417663237847</v>
      </c>
      <c r="Q43" s="68">
        <v>10615.595934347832</v>
      </c>
      <c r="R43" s="69">
        <v>0.32142707965736306</v>
      </c>
      <c r="S43" s="68">
        <v>114.87319151202213</v>
      </c>
      <c r="T43" s="68">
        <v>10757.299001736212</v>
      </c>
      <c r="U43" s="69">
        <v>0.31719300536773082</v>
      </c>
      <c r="V43" s="68">
        <v>11.153480742016558</v>
      </c>
      <c r="W43" s="69">
        <v>0.85877944683297602</v>
      </c>
      <c r="X43" s="68">
        <v>559.06271227847503</v>
      </c>
      <c r="Y43" s="68">
        <v>423.01737092388981</v>
      </c>
      <c r="Z43"/>
      <c r="AA43">
        <v>-5.6651073354592887</v>
      </c>
      <c r="AB43">
        <v>2.4519968842151962E-2</v>
      </c>
      <c r="AC43">
        <v>-3.153402082700222E-2</v>
      </c>
      <c r="AD43">
        <v>1.0317075072574896E-2</v>
      </c>
      <c r="AE43">
        <v>-0.61526316625731892</v>
      </c>
      <c r="AF43">
        <v>0</v>
      </c>
      <c r="AG43">
        <v>-0.38920631191037985</v>
      </c>
      <c r="AH43">
        <v>9.0042553709356321E-2</v>
      </c>
      <c r="AI43">
        <v>0.59601516009889177</v>
      </c>
      <c r="AJ43">
        <v>115.5735529835664</v>
      </c>
      <c r="AK43">
        <v>-15.899530474615167</v>
      </c>
      <c r="AL43">
        <v>0.54528815201056691</v>
      </c>
      <c r="AM43">
        <v>6.6499782754608106</v>
      </c>
      <c r="AN43">
        <v>17.808463064325316</v>
      </c>
      <c r="AO43">
        <v>0</v>
      </c>
      <c r="AP43">
        <v>34.232809514269171</v>
      </c>
      <c r="AQ43">
        <v>-4.8453061513517005E-2</v>
      </c>
      <c r="AR43">
        <v>-17.373625014922862</v>
      </c>
      <c r="AS43" s="65"/>
      <c r="AT43" s="65"/>
    </row>
    <row r="44" spans="1:46" x14ac:dyDescent="0.25">
      <c r="A44" s="65" t="s">
        <v>341</v>
      </c>
      <c r="B44" s="117">
        <v>46105</v>
      </c>
      <c r="C44" s="66">
        <v>46104</v>
      </c>
      <c r="D44" s="65">
        <v>24</v>
      </c>
      <c r="E44" s="67">
        <v>26.399903558019009</v>
      </c>
      <c r="F44" s="67">
        <v>54.048312750688126</v>
      </c>
      <c r="G44" s="67">
        <v>1004.8277911404076</v>
      </c>
      <c r="H44" s="67">
        <v>19.632085498500338</v>
      </c>
      <c r="I44" s="65" t="s">
        <v>268</v>
      </c>
      <c r="J44" s="68">
        <v>19.928095740557772</v>
      </c>
      <c r="K44">
        <v>79.908947631466106</v>
      </c>
      <c r="L44" s="68">
        <v>0.95626208632468956</v>
      </c>
      <c r="M44" s="68" t="s">
        <v>200</v>
      </c>
      <c r="N44" s="68">
        <v>545.56313616346563</v>
      </c>
      <c r="O44" s="68">
        <v>1029.955599209823</v>
      </c>
      <c r="P44" s="68">
        <v>119.38461189670139</v>
      </c>
      <c r="Q44" s="68">
        <v>10436.987028678088</v>
      </c>
      <c r="R44" s="69">
        <v>0.32692768426599927</v>
      </c>
      <c r="S44" s="68">
        <v>114.01734325423595</v>
      </c>
      <c r="T44" s="68">
        <v>10561.932300595732</v>
      </c>
      <c r="U44" s="69">
        <v>0.32306020365303256</v>
      </c>
      <c r="V44" s="68">
        <v>11.249662307167256</v>
      </c>
      <c r="W44" s="69">
        <v>0.86563990867543406</v>
      </c>
      <c r="X44" s="68">
        <v>551.03866810207944</v>
      </c>
      <c r="Y44" s="68">
        <v>415.07360287003763</v>
      </c>
      <c r="Z44"/>
      <c r="AA44">
        <v>-5.4707169456355986</v>
      </c>
      <c r="AB44">
        <v>2.4060552862583216E-2</v>
      </c>
      <c r="AC44">
        <v>-3.2964510349387514E-2</v>
      </c>
      <c r="AD44">
        <v>1.035667404911412E-2</v>
      </c>
      <c r="AE44">
        <v>-0.18412161261902307</v>
      </c>
      <c r="AF44">
        <v>0</v>
      </c>
      <c r="AG44">
        <v>-0.38451311916997094</v>
      </c>
      <c r="AH44">
        <v>8.8971628166799488E-2</v>
      </c>
      <c r="AI44">
        <v>0.58882819026579747</v>
      </c>
      <c r="AJ44">
        <v>111.22750494788879</v>
      </c>
      <c r="AK44">
        <v>-15.397075659172419</v>
      </c>
      <c r="AL44">
        <v>0.56872578013342756</v>
      </c>
      <c r="AM44">
        <v>6.643351040657361</v>
      </c>
      <c r="AN44">
        <v>5.3038007448109257</v>
      </c>
      <c r="AO44">
        <v>0</v>
      </c>
      <c r="AP44">
        <v>33.656837643904268</v>
      </c>
      <c r="AQ44">
        <v>-4.7039920326996998E-2</v>
      </c>
      <c r="AR44">
        <v>-17.08131131245878</v>
      </c>
      <c r="AS44" s="65"/>
      <c r="AT44" s="65"/>
    </row>
    <row r="45" spans="1:46" x14ac:dyDescent="0.25">
      <c r="A45" s="65" t="s">
        <v>341</v>
      </c>
      <c r="B45" s="117">
        <v>46105</v>
      </c>
      <c r="C45" s="66">
        <v>46104</v>
      </c>
      <c r="D45" s="65">
        <v>24</v>
      </c>
      <c r="E45" s="67">
        <v>26.399903558019009</v>
      </c>
      <c r="F45" s="67">
        <v>54.048312750688126</v>
      </c>
      <c r="G45" s="67">
        <v>1004.8277911404076</v>
      </c>
      <c r="H45" s="67">
        <v>19.632085498500338</v>
      </c>
      <c r="I45" s="65" t="s">
        <v>269</v>
      </c>
      <c r="J45" s="68">
        <v>19.932716339014895</v>
      </c>
      <c r="K45">
        <v>79.886082328144994</v>
      </c>
      <c r="L45" s="68">
        <v>0.95557935543321348</v>
      </c>
      <c r="M45" s="68" t="s">
        <v>200</v>
      </c>
      <c r="N45" s="68">
        <v>550.18805253984237</v>
      </c>
      <c r="O45" s="68">
        <v>1043.415960847303</v>
      </c>
      <c r="P45" s="68">
        <v>126.02192802517358</v>
      </c>
      <c r="Q45" s="68">
        <v>10016.508151294098</v>
      </c>
      <c r="R45" s="69">
        <v>0.34065164710709722</v>
      </c>
      <c r="S45" s="68">
        <v>119.73262781502342</v>
      </c>
      <c r="T45" s="68">
        <v>10153.754327519528</v>
      </c>
      <c r="U45" s="69">
        <v>0.33604712995193725</v>
      </c>
      <c r="V45" s="68">
        <v>11.392854546287067</v>
      </c>
      <c r="W45" s="69">
        <v>0.86539095643474595</v>
      </c>
      <c r="X45" s="68">
        <v>556.27748681569642</v>
      </c>
      <c r="Y45" s="68">
        <v>422.0409330679891</v>
      </c>
      <c r="Z45"/>
      <c r="AA45">
        <v>-5.7714335295066626</v>
      </c>
      <c r="AB45">
        <v>2.5391580867049533E-2</v>
      </c>
      <c r="AC45">
        <v>-3.7495006989248493E-2</v>
      </c>
      <c r="AD45">
        <v>1.1017869423245662E-2</v>
      </c>
      <c r="AE45">
        <v>-0.84731310553097272</v>
      </c>
      <c r="AF45">
        <v>0</v>
      </c>
      <c r="AG45">
        <v>-0.40589054032106747</v>
      </c>
      <c r="AH45">
        <v>9.3918505431721463E-2</v>
      </c>
      <c r="AI45">
        <v>0.62156472793224238</v>
      </c>
      <c r="AJ45">
        <v>106.68705608517244</v>
      </c>
      <c r="AK45">
        <v>-14.770909859981295</v>
      </c>
      <c r="AL45">
        <v>0.58818311871712059</v>
      </c>
      <c r="AM45">
        <v>6.4255427438420076</v>
      </c>
      <c r="AN45">
        <v>22.189005683582209</v>
      </c>
      <c r="AO45">
        <v>0</v>
      </c>
      <c r="AP45">
        <v>32.300891788082261</v>
      </c>
      <c r="AQ45">
        <v>-4.5130016629463289E-2</v>
      </c>
      <c r="AR45">
        <v>-16.393150008322447</v>
      </c>
      <c r="AS45" s="65"/>
      <c r="AT45" s="65"/>
    </row>
    <row r="46" spans="1:46" hidden="1" x14ac:dyDescent="0.25">
      <c r="A46" s="65" t="s">
        <v>341</v>
      </c>
      <c r="B46" s="117">
        <v>46105</v>
      </c>
      <c r="C46" s="66">
        <v>46104</v>
      </c>
      <c r="D46" s="65">
        <v>24</v>
      </c>
      <c r="I46" s="65" t="s">
        <v>286</v>
      </c>
      <c r="K46"/>
      <c r="O46" s="68">
        <v>3133.7391653827253</v>
      </c>
      <c r="P46" s="68">
        <v>366.24830624565965</v>
      </c>
      <c r="Q46" s="68"/>
      <c r="R46" s="69"/>
      <c r="S46" s="68">
        <v>348.62316258128152</v>
      </c>
      <c r="T46" s="68"/>
      <c r="U46" s="69"/>
      <c r="W46" s="69"/>
      <c r="Z46"/>
      <c r="AA46">
        <v>-16.90725781060155</v>
      </c>
      <c r="AB46">
        <v>7.3972102571784715E-2</v>
      </c>
      <c r="AC46">
        <v>-0.10199353816563822</v>
      </c>
      <c r="AD46">
        <v>3.1691618544934679E-2</v>
      </c>
      <c r="AE46">
        <v>-1.6466978844073146</v>
      </c>
      <c r="AF46">
        <v>0</v>
      </c>
      <c r="AG46">
        <v>-1.1796099714014183</v>
      </c>
      <c r="AH46">
        <v>0.27293268730787729</v>
      </c>
      <c r="AI46">
        <v>1.8064080782969314</v>
      </c>
      <c r="AJ46"/>
      <c r="AK46"/>
      <c r="AL46"/>
      <c r="AM46"/>
      <c r="AN46"/>
      <c r="AO46"/>
      <c r="AP46"/>
      <c r="AQ46"/>
      <c r="AR46"/>
      <c r="AS46" s="65"/>
      <c r="AT46" s="65"/>
    </row>
    <row r="47" spans="1:46" x14ac:dyDescent="0.25">
      <c r="AS47" s="65"/>
      <c r="AT47" s="65"/>
    </row>
    <row r="48" spans="1:46" x14ac:dyDescent="0.25">
      <c r="AS48" s="65"/>
      <c r="AT48" s="65"/>
    </row>
    <row r="49" spans="45:46" x14ac:dyDescent="0.25">
      <c r="AS49" s="65"/>
      <c r="AT49" s="65"/>
    </row>
    <row r="50" spans="45:46" x14ac:dyDescent="0.25">
      <c r="AS50" s="65"/>
      <c r="AT50" s="65"/>
    </row>
    <row r="51" spans="45:46" x14ac:dyDescent="0.25">
      <c r="AS51" s="65"/>
      <c r="AT51" s="65"/>
    </row>
    <row r="52" spans="45:46" x14ac:dyDescent="0.25">
      <c r="AS52" s="65"/>
      <c r="AT52" s="65"/>
    </row>
    <row r="53" spans="45:46" x14ac:dyDescent="0.25">
      <c r="AS53" s="65"/>
      <c r="AT53" s="65"/>
    </row>
    <row r="54" spans="45:46" x14ac:dyDescent="0.25">
      <c r="AS54" s="65"/>
      <c r="AT54" s="65"/>
    </row>
    <row r="55" spans="45:46" x14ac:dyDescent="0.25">
      <c r="AS55" s="65"/>
      <c r="AT55" s="65"/>
    </row>
    <row r="56" spans="45:46" x14ac:dyDescent="0.25">
      <c r="AS56" s="65"/>
      <c r="AT56" s="65"/>
    </row>
    <row r="57" spans="45:46" x14ac:dyDescent="0.25">
      <c r="AS57" s="65"/>
      <c r="AT57" s="65"/>
    </row>
    <row r="58" spans="45:46" x14ac:dyDescent="0.25">
      <c r="AS58" s="65"/>
      <c r="AT58" s="65"/>
    </row>
    <row r="59" spans="45:46" x14ac:dyDescent="0.25">
      <c r="AS59" s="65"/>
      <c r="AT59" s="65"/>
    </row>
    <row r="60" spans="45:46" x14ac:dyDescent="0.25">
      <c r="AS60" s="65"/>
      <c r="AT60" s="65"/>
    </row>
    <row r="61" spans="45:46" x14ac:dyDescent="0.25">
      <c r="AS61" s="65"/>
      <c r="AT61" s="65"/>
    </row>
    <row r="62" spans="45:46" x14ac:dyDescent="0.25">
      <c r="AS62" s="65"/>
      <c r="AT62" s="65"/>
    </row>
    <row r="63" spans="45:46" x14ac:dyDescent="0.25">
      <c r="AS63" s="65"/>
      <c r="AT63" s="65"/>
    </row>
    <row r="64" spans="45:46" x14ac:dyDescent="0.25">
      <c r="AS64" s="65"/>
      <c r="AT64" s="65"/>
    </row>
    <row r="65" spans="45:46" x14ac:dyDescent="0.25">
      <c r="AS65" s="65"/>
      <c r="AT65" s="65"/>
    </row>
    <row r="66" spans="45:46" x14ac:dyDescent="0.25">
      <c r="AS66" s="65"/>
      <c r="AT66" s="65"/>
    </row>
    <row r="67" spans="45:46" x14ac:dyDescent="0.25">
      <c r="AS67" s="65"/>
      <c r="AT67" s="65"/>
    </row>
    <row r="68" spans="45:46" x14ac:dyDescent="0.25">
      <c r="AS68" s="65"/>
      <c r="AT68" s="65"/>
    </row>
    <row r="69" spans="45:46" x14ac:dyDescent="0.25">
      <c r="AS69" s="65"/>
      <c r="AT69" s="65"/>
    </row>
    <row r="70" spans="45:46" x14ac:dyDescent="0.25">
      <c r="AS70" s="65"/>
      <c r="AT70" s="65"/>
    </row>
    <row r="71" spans="45:46" x14ac:dyDescent="0.25">
      <c r="AS71" s="65"/>
      <c r="AT71" s="65"/>
    </row>
    <row r="72" spans="45:46" x14ac:dyDescent="0.25">
      <c r="AS72" s="65"/>
      <c r="AT72" s="65"/>
    </row>
    <row r="73" spans="45:46" x14ac:dyDescent="0.25">
      <c r="AS73" s="65"/>
      <c r="AT73" s="65"/>
    </row>
    <row r="74" spans="45:46" x14ac:dyDescent="0.25">
      <c r="AS74" s="65"/>
      <c r="AT74" s="65"/>
    </row>
    <row r="75" spans="45:46" x14ac:dyDescent="0.25">
      <c r="AS75" s="65"/>
      <c r="AT75" s="65"/>
    </row>
    <row r="76" spans="45:46" x14ac:dyDescent="0.25">
      <c r="AS76" s="65"/>
      <c r="AT76" s="65"/>
    </row>
    <row r="77" spans="45:46" x14ac:dyDescent="0.25">
      <c r="AS77" s="65"/>
      <c r="AT77" s="65"/>
    </row>
    <row r="78" spans="45:46" x14ac:dyDescent="0.25">
      <c r="AS78" s="65"/>
      <c r="AT78" s="65"/>
    </row>
    <row r="79" spans="45:46" x14ac:dyDescent="0.25">
      <c r="AS79" s="65"/>
      <c r="AT79" s="65"/>
    </row>
    <row r="80" spans="45:46" x14ac:dyDescent="0.25">
      <c r="AS80" s="65"/>
      <c r="AT80" s="65"/>
    </row>
    <row r="81" spans="45:46" x14ac:dyDescent="0.25">
      <c r="AS81" s="65"/>
      <c r="AT81" s="65"/>
    </row>
    <row r="82" spans="45:46" x14ac:dyDescent="0.25">
      <c r="AS82" s="65"/>
      <c r="AT82" s="65"/>
    </row>
    <row r="83" spans="45:46" x14ac:dyDescent="0.25">
      <c r="AS83" s="65"/>
      <c r="AT83" s="65"/>
    </row>
    <row r="84" spans="45:46" x14ac:dyDescent="0.25">
      <c r="AS84" s="65"/>
      <c r="AT84" s="65"/>
    </row>
    <row r="85" spans="45:46" x14ac:dyDescent="0.25">
      <c r="AS85" s="65"/>
      <c r="AT85" s="65"/>
    </row>
    <row r="86" spans="45:46" x14ac:dyDescent="0.25">
      <c r="AS86" s="65"/>
      <c r="AT86" s="65"/>
    </row>
    <row r="87" spans="45:46" x14ac:dyDescent="0.25">
      <c r="AS87" s="65"/>
      <c r="AT87" s="65"/>
    </row>
    <row r="88" spans="45:46" x14ac:dyDescent="0.25">
      <c r="AS88" s="65"/>
      <c r="AT88" s="65"/>
    </row>
    <row r="89" spans="45:46" x14ac:dyDescent="0.25">
      <c r="AS89" s="65"/>
      <c r="AT89" s="65"/>
    </row>
    <row r="90" spans="45:46" x14ac:dyDescent="0.25">
      <c r="AS90" s="65"/>
      <c r="AT90" s="65"/>
    </row>
    <row r="91" spans="45:46" x14ac:dyDescent="0.25">
      <c r="AS91" s="65"/>
      <c r="AT91" s="65"/>
    </row>
    <row r="92" spans="45:46" x14ac:dyDescent="0.25">
      <c r="AS92" s="65"/>
      <c r="AT92" s="65"/>
    </row>
    <row r="93" spans="45:46" x14ac:dyDescent="0.25">
      <c r="AS93" s="65"/>
      <c r="AT93" s="65"/>
    </row>
    <row r="94" spans="45:46" x14ac:dyDescent="0.25">
      <c r="AS94" s="65"/>
      <c r="AT94" s="65"/>
    </row>
    <row r="95" spans="45:46" x14ac:dyDescent="0.25">
      <c r="AS95" s="65"/>
      <c r="AT95" s="65"/>
    </row>
    <row r="96" spans="45:46" x14ac:dyDescent="0.25">
      <c r="AS96" s="65"/>
      <c r="AT96" s="65"/>
    </row>
    <row r="97" spans="45:46" x14ac:dyDescent="0.25">
      <c r="AS97" s="65"/>
      <c r="AT97" s="65"/>
    </row>
    <row r="98" spans="45:46" x14ac:dyDescent="0.25">
      <c r="AS98" s="65"/>
      <c r="AT98" s="65"/>
    </row>
    <row r="99" spans="45:46" x14ac:dyDescent="0.25">
      <c r="AS99" s="65"/>
      <c r="AT99" s="65"/>
    </row>
    <row r="100" spans="45:46" x14ac:dyDescent="0.25">
      <c r="AS100" s="65"/>
      <c r="AT100" s="65"/>
    </row>
    <row r="101" spans="45:46" x14ac:dyDescent="0.25">
      <c r="AS101" s="65"/>
      <c r="AT101" s="65"/>
    </row>
    <row r="102" spans="45:46" x14ac:dyDescent="0.25">
      <c r="AS102" s="65"/>
      <c r="AT102" s="65"/>
    </row>
    <row r="103" spans="45:46" x14ac:dyDescent="0.25">
      <c r="AS103" s="65"/>
      <c r="AT103" s="65"/>
    </row>
    <row r="104" spans="45:46" x14ac:dyDescent="0.25">
      <c r="AS104" s="65"/>
      <c r="AT104" s="65"/>
    </row>
    <row r="105" spans="45:46" x14ac:dyDescent="0.25">
      <c r="AS105" s="65"/>
      <c r="AT105" s="65"/>
    </row>
    <row r="106" spans="45:46" x14ac:dyDescent="0.25">
      <c r="AS106" s="65"/>
      <c r="AT106" s="65"/>
    </row>
    <row r="107" spans="45:46" x14ac:dyDescent="0.25">
      <c r="AS107" s="65"/>
      <c r="AT107" s="65"/>
    </row>
    <row r="108" spans="45:46" x14ac:dyDescent="0.25">
      <c r="AS108" s="65"/>
      <c r="AT108" s="65"/>
    </row>
    <row r="109" spans="45:46" x14ac:dyDescent="0.25">
      <c r="AS109" s="65"/>
      <c r="AT109" s="65"/>
    </row>
    <row r="110" spans="45:46" x14ac:dyDescent="0.25">
      <c r="AS110" s="65"/>
      <c r="AT110" s="65"/>
    </row>
    <row r="111" spans="45:46" x14ac:dyDescent="0.25">
      <c r="AS111" s="65"/>
      <c r="AT111" s="65"/>
    </row>
    <row r="112" spans="45:46" x14ac:dyDescent="0.25">
      <c r="AS112" s="65"/>
      <c r="AT112" s="65"/>
    </row>
    <row r="113" spans="45:46" x14ac:dyDescent="0.25">
      <c r="AS113" s="65"/>
      <c r="AT113" s="65"/>
    </row>
    <row r="114" spans="45:46" x14ac:dyDescent="0.25">
      <c r="AS114" s="65"/>
      <c r="AT114" s="65"/>
    </row>
    <row r="115" spans="45:46" x14ac:dyDescent="0.25">
      <c r="AS115" s="65"/>
      <c r="AT115" s="65"/>
    </row>
    <row r="116" spans="45:46" x14ac:dyDescent="0.25">
      <c r="AS116" s="65"/>
      <c r="AT116" s="65"/>
    </row>
    <row r="117" spans="45:46" x14ac:dyDescent="0.25">
      <c r="AS117" s="65"/>
      <c r="AT117" s="65"/>
    </row>
    <row r="118" spans="45:46" x14ac:dyDescent="0.25">
      <c r="AS118" s="65"/>
      <c r="AT118" s="65"/>
    </row>
    <row r="119" spans="45:46" x14ac:dyDescent="0.25">
      <c r="AS119" s="65"/>
      <c r="AT119" s="65"/>
    </row>
    <row r="120" spans="45:46" x14ac:dyDescent="0.25">
      <c r="AS120" s="65"/>
      <c r="AT120" s="65"/>
    </row>
    <row r="121" spans="45:46" x14ac:dyDescent="0.25">
      <c r="AS121" s="65"/>
      <c r="AT121" s="65"/>
    </row>
    <row r="122" spans="45:46" x14ac:dyDescent="0.25">
      <c r="AS122" s="65"/>
      <c r="AT122" s="65"/>
    </row>
    <row r="123" spans="45:46" x14ac:dyDescent="0.25">
      <c r="AS123" s="65"/>
      <c r="AT123" s="65"/>
    </row>
    <row r="124" spans="45:46" x14ac:dyDescent="0.25">
      <c r="AS124" s="65"/>
      <c r="AT124" s="65"/>
    </row>
    <row r="125" spans="45:46" x14ac:dyDescent="0.25">
      <c r="AS125" s="65"/>
      <c r="AT125" s="65"/>
    </row>
    <row r="126" spans="45:46" x14ac:dyDescent="0.25">
      <c r="AS126" s="65"/>
      <c r="AT126" s="65"/>
    </row>
    <row r="127" spans="45:46" x14ac:dyDescent="0.25">
      <c r="AS127" s="65"/>
      <c r="AT127" s="65"/>
    </row>
    <row r="128" spans="45:46" x14ac:dyDescent="0.25">
      <c r="AS128" s="65"/>
      <c r="AT128" s="65"/>
    </row>
    <row r="129" spans="45:46" x14ac:dyDescent="0.25">
      <c r="AS129" s="65"/>
      <c r="AT129" s="65"/>
    </row>
    <row r="130" spans="45:46" x14ac:dyDescent="0.25">
      <c r="AS130" s="65"/>
      <c r="AT130" s="65"/>
    </row>
    <row r="131" spans="45:46" x14ac:dyDescent="0.25">
      <c r="AS131" s="65"/>
      <c r="AT131" s="65"/>
    </row>
    <row r="132" spans="45:46" x14ac:dyDescent="0.25">
      <c r="AS132" s="65"/>
      <c r="AT132" s="65"/>
    </row>
    <row r="133" spans="45:46" x14ac:dyDescent="0.25">
      <c r="AS133" s="65"/>
      <c r="AT133" s="65"/>
    </row>
    <row r="134" spans="45:46" x14ac:dyDescent="0.25">
      <c r="AS134" s="65"/>
      <c r="AT134" s="65"/>
    </row>
    <row r="135" spans="45:46" x14ac:dyDescent="0.25">
      <c r="AS135" s="65"/>
      <c r="AT135" s="65"/>
    </row>
    <row r="136" spans="45:46" x14ac:dyDescent="0.25">
      <c r="AS136" s="65"/>
      <c r="AT136" s="65"/>
    </row>
    <row r="137" spans="45:46" x14ac:dyDescent="0.25">
      <c r="AS137" s="65"/>
      <c r="AT137" s="65"/>
    </row>
    <row r="138" spans="45:46" x14ac:dyDescent="0.25">
      <c r="AS138" s="65"/>
      <c r="AT138" s="65"/>
    </row>
    <row r="139" spans="45:46" x14ac:dyDescent="0.25">
      <c r="AS139" s="65"/>
      <c r="AT139" s="65"/>
    </row>
    <row r="140" spans="45:46" x14ac:dyDescent="0.25">
      <c r="AS140" s="65"/>
      <c r="AT140" s="65"/>
    </row>
    <row r="141" spans="45:46" x14ac:dyDescent="0.25">
      <c r="AS141" s="65"/>
      <c r="AT141" s="65"/>
    </row>
    <row r="142" spans="45:46" x14ac:dyDescent="0.25">
      <c r="AS142" s="65"/>
      <c r="AT142" s="65"/>
    </row>
    <row r="143" spans="45:46" x14ac:dyDescent="0.25">
      <c r="AS143" s="65"/>
      <c r="AT143" s="65"/>
    </row>
    <row r="144" spans="45:46" x14ac:dyDescent="0.25">
      <c r="AS144" s="65"/>
      <c r="AT144" s="65"/>
    </row>
    <row r="145" spans="45:46" x14ac:dyDescent="0.25">
      <c r="AS145" s="65"/>
      <c r="AT145" s="65"/>
    </row>
    <row r="146" spans="45:46" x14ac:dyDescent="0.25">
      <c r="AS146" s="65"/>
      <c r="AT146" s="65"/>
    </row>
    <row r="147" spans="45:46" x14ac:dyDescent="0.25">
      <c r="AS147" s="65"/>
      <c r="AT147" s="65"/>
    </row>
    <row r="148" spans="45:46" x14ac:dyDescent="0.25">
      <c r="AS148" s="65"/>
      <c r="AT148" s="65"/>
    </row>
    <row r="149" spans="45:46" x14ac:dyDescent="0.25">
      <c r="AS149" s="65"/>
      <c r="AT149" s="65"/>
    </row>
    <row r="150" spans="45:46" x14ac:dyDescent="0.25">
      <c r="AS150" s="65"/>
      <c r="AT150" s="65"/>
    </row>
    <row r="151" spans="45:46" x14ac:dyDescent="0.25">
      <c r="AS151" s="65"/>
      <c r="AT151" s="65"/>
    </row>
    <row r="152" spans="45:46" x14ac:dyDescent="0.25">
      <c r="AS152" s="65"/>
      <c r="AT152" s="65"/>
    </row>
    <row r="153" spans="45:46" x14ac:dyDescent="0.25">
      <c r="AS153" s="65"/>
      <c r="AT153" s="65"/>
    </row>
    <row r="154" spans="45:46" x14ac:dyDescent="0.25">
      <c r="AS154" s="65"/>
      <c r="AT154" s="65"/>
    </row>
    <row r="155" spans="45:46" x14ac:dyDescent="0.25">
      <c r="AS155" s="65"/>
      <c r="AT155" s="65"/>
    </row>
    <row r="156" spans="45:46" x14ac:dyDescent="0.25">
      <c r="AS156" s="65"/>
      <c r="AT156" s="65"/>
    </row>
    <row r="157" spans="45:46" x14ac:dyDescent="0.25">
      <c r="AS157" s="65"/>
      <c r="AT157" s="65"/>
    </row>
    <row r="158" spans="45:46" x14ac:dyDescent="0.25">
      <c r="AS158" s="65"/>
      <c r="AT158" s="65"/>
    </row>
    <row r="159" spans="45:46" x14ac:dyDescent="0.25">
      <c r="AS159" s="65"/>
      <c r="AT159" s="65"/>
    </row>
    <row r="160" spans="45:46" x14ac:dyDescent="0.25">
      <c r="AS160" s="65"/>
      <c r="AT160" s="65"/>
    </row>
    <row r="161" spans="45:46" x14ac:dyDescent="0.25">
      <c r="AS161" s="65"/>
      <c r="AT161" s="65"/>
    </row>
    <row r="162" spans="45:46" x14ac:dyDescent="0.25">
      <c r="AS162" s="65"/>
      <c r="AT162" s="65"/>
    </row>
    <row r="163" spans="45:46" x14ac:dyDescent="0.25">
      <c r="AS163" s="65"/>
      <c r="AT163" s="65"/>
    </row>
    <row r="164" spans="45:46" x14ac:dyDescent="0.25">
      <c r="AS164" s="65"/>
      <c r="AT164" s="65"/>
    </row>
    <row r="165" spans="45:46" x14ac:dyDescent="0.25">
      <c r="AS165" s="65"/>
      <c r="AT165" s="65"/>
    </row>
    <row r="166" spans="45:46" x14ac:dyDescent="0.25">
      <c r="AS166" s="65"/>
      <c r="AT166" s="65"/>
    </row>
    <row r="167" spans="45:46" x14ac:dyDescent="0.25">
      <c r="AS167" s="65"/>
      <c r="AT167" s="65"/>
    </row>
    <row r="168" spans="45:46" x14ac:dyDescent="0.25">
      <c r="AS168" s="65"/>
      <c r="AT168" s="65"/>
    </row>
    <row r="169" spans="45:46" x14ac:dyDescent="0.25">
      <c r="AS169" s="65"/>
      <c r="AT169" s="65"/>
    </row>
    <row r="170" spans="45:46" x14ac:dyDescent="0.25">
      <c r="AS170" s="65"/>
      <c r="AT170" s="65"/>
    </row>
    <row r="171" spans="45:46" x14ac:dyDescent="0.25">
      <c r="AS171" s="65"/>
      <c r="AT171" s="65"/>
    </row>
    <row r="172" spans="45:46" x14ac:dyDescent="0.25">
      <c r="AS172" s="65"/>
      <c r="AT172" s="65"/>
    </row>
    <row r="173" spans="45:46" x14ac:dyDescent="0.25">
      <c r="AS173" s="65"/>
      <c r="AT173" s="65"/>
    </row>
    <row r="174" spans="45:46" x14ac:dyDescent="0.25">
      <c r="AS174" s="65"/>
      <c r="AT174" s="65"/>
    </row>
    <row r="175" spans="45:46" x14ac:dyDescent="0.25">
      <c r="AS175" s="65"/>
      <c r="AT175" s="65"/>
    </row>
    <row r="176" spans="45:46" x14ac:dyDescent="0.25">
      <c r="AS176" s="65"/>
      <c r="AT176" s="65"/>
    </row>
    <row r="177" spans="45:46" x14ac:dyDescent="0.25">
      <c r="AS177" s="65"/>
      <c r="AT177" s="65"/>
    </row>
    <row r="178" spans="45:46" x14ac:dyDescent="0.25">
      <c r="AS178" s="65"/>
      <c r="AT178" s="65"/>
    </row>
    <row r="179" spans="45:46" x14ac:dyDescent="0.25">
      <c r="AS179" s="65"/>
      <c r="AT179" s="65"/>
    </row>
    <row r="180" spans="45:46" x14ac:dyDescent="0.25">
      <c r="AS180" s="65"/>
      <c r="AT180" s="65"/>
    </row>
    <row r="181" spans="45:46" x14ac:dyDescent="0.25">
      <c r="AS181" s="65"/>
      <c r="AT181" s="65"/>
    </row>
    <row r="182" spans="45:46" x14ac:dyDescent="0.25">
      <c r="AS182" s="65"/>
      <c r="AT182" s="65"/>
    </row>
    <row r="183" spans="45:46" x14ac:dyDescent="0.25">
      <c r="AS183" s="65"/>
      <c r="AT183" s="65"/>
    </row>
    <row r="184" spans="45:46" x14ac:dyDescent="0.25">
      <c r="AS184" s="65"/>
      <c r="AT184" s="65"/>
    </row>
    <row r="185" spans="45:46" x14ac:dyDescent="0.25">
      <c r="AS185" s="65"/>
      <c r="AT185" s="65"/>
    </row>
    <row r="186" spans="45:46" x14ac:dyDescent="0.25">
      <c r="AS186" s="65"/>
      <c r="AT186" s="65"/>
    </row>
    <row r="187" spans="45:46" x14ac:dyDescent="0.25">
      <c r="AS187" s="65"/>
      <c r="AT187" s="65"/>
    </row>
    <row r="188" spans="45:46" x14ac:dyDescent="0.25">
      <c r="AS188" s="65"/>
      <c r="AT188" s="65"/>
    </row>
    <row r="189" spans="45:46" x14ac:dyDescent="0.25">
      <c r="AS189" s="65"/>
      <c r="AT189" s="65"/>
    </row>
    <row r="190" spans="45:46" x14ac:dyDescent="0.25">
      <c r="AS190" s="65"/>
      <c r="AT190" s="65"/>
    </row>
    <row r="191" spans="45:46" x14ac:dyDescent="0.25">
      <c r="AS191" s="65"/>
      <c r="AT191" s="65"/>
    </row>
    <row r="192" spans="45:46" x14ac:dyDescent="0.25">
      <c r="AS192" s="65"/>
      <c r="AT192" s="65"/>
    </row>
    <row r="193" spans="45:46" x14ac:dyDescent="0.25">
      <c r="AS193" s="65"/>
      <c r="AT193" s="65"/>
    </row>
    <row r="194" spans="45:46" x14ac:dyDescent="0.25">
      <c r="AS194" s="65"/>
      <c r="AT194" s="65"/>
    </row>
    <row r="195" spans="45:46" x14ac:dyDescent="0.25">
      <c r="AS195" s="65"/>
      <c r="AT195" s="65"/>
    </row>
    <row r="196" spans="45:46" x14ac:dyDescent="0.25">
      <c r="AS196" s="65"/>
      <c r="AT196" s="65"/>
    </row>
    <row r="197" spans="45:46" x14ac:dyDescent="0.25">
      <c r="AS197" s="65"/>
      <c r="AT197" s="65"/>
    </row>
    <row r="198" spans="45:46" x14ac:dyDescent="0.25">
      <c r="AS198" s="65"/>
      <c r="AT198" s="65"/>
    </row>
    <row r="199" spans="45:46" x14ac:dyDescent="0.25">
      <c r="AS199" s="65"/>
      <c r="AT199" s="65"/>
    </row>
    <row r="200" spans="45:46" x14ac:dyDescent="0.25">
      <c r="AS200" s="65"/>
      <c r="AT200" s="65"/>
    </row>
    <row r="201" spans="45:46" x14ac:dyDescent="0.25">
      <c r="AS201" s="65"/>
      <c r="AT201" s="65"/>
    </row>
    <row r="202" spans="45:46" x14ac:dyDescent="0.25">
      <c r="AS202" s="65"/>
      <c r="AT202" s="65"/>
    </row>
    <row r="203" spans="45:46" x14ac:dyDescent="0.25">
      <c r="AS203" s="65"/>
      <c r="AT203" s="65"/>
    </row>
    <row r="204" spans="45:46" x14ac:dyDescent="0.25">
      <c r="AS204" s="65"/>
      <c r="AT204" s="65"/>
    </row>
    <row r="205" spans="45:46" x14ac:dyDescent="0.25">
      <c r="AS205" s="65"/>
      <c r="AT205" s="65"/>
    </row>
    <row r="206" spans="45:46" x14ac:dyDescent="0.25">
      <c r="AS206" s="65"/>
      <c r="AT206" s="65"/>
    </row>
    <row r="207" spans="45:46" x14ac:dyDescent="0.25">
      <c r="AS207" s="65"/>
      <c r="AT207" s="65"/>
    </row>
    <row r="208" spans="45:46" x14ac:dyDescent="0.25">
      <c r="AS208" s="65"/>
      <c r="AT208" s="65"/>
    </row>
    <row r="209" spans="45:46" x14ac:dyDescent="0.25">
      <c r="AS209" s="65"/>
      <c r="AT209" s="65"/>
    </row>
    <row r="210" spans="45:46" x14ac:dyDescent="0.25">
      <c r="AS210" s="65"/>
      <c r="AT210" s="65"/>
    </row>
    <row r="211" spans="45:46" x14ac:dyDescent="0.25">
      <c r="AS211" s="65"/>
      <c r="AT211" s="65"/>
    </row>
    <row r="212" spans="45:46" x14ac:dyDescent="0.25">
      <c r="AS212" s="65"/>
      <c r="AT212" s="65"/>
    </row>
    <row r="213" spans="45:46" x14ac:dyDescent="0.25">
      <c r="AS213" s="65"/>
      <c r="AT213" s="65"/>
    </row>
    <row r="214" spans="45:46" x14ac:dyDescent="0.25">
      <c r="AS214" s="65"/>
      <c r="AT214" s="65"/>
    </row>
    <row r="215" spans="45:46" x14ac:dyDescent="0.25">
      <c r="AS215" s="65"/>
      <c r="AT215" s="65"/>
    </row>
    <row r="216" spans="45:46" x14ac:dyDescent="0.25">
      <c r="AS216" s="65"/>
      <c r="AT216" s="65"/>
    </row>
    <row r="217" spans="45:46" x14ac:dyDescent="0.25">
      <c r="AS217" s="65"/>
      <c r="AT217" s="65"/>
    </row>
    <row r="218" spans="45:46" x14ac:dyDescent="0.25">
      <c r="AS218" s="65"/>
      <c r="AT218" s="65"/>
    </row>
    <row r="219" spans="45:46" x14ac:dyDescent="0.25">
      <c r="AS219" s="65"/>
      <c r="AT219" s="65"/>
    </row>
    <row r="220" spans="45:46" x14ac:dyDescent="0.25">
      <c r="AS220" s="65"/>
      <c r="AT220" s="65"/>
    </row>
    <row r="221" spans="45:46" x14ac:dyDescent="0.25">
      <c r="AS221" s="65"/>
      <c r="AT221" s="65"/>
    </row>
    <row r="222" spans="45:46" x14ac:dyDescent="0.25">
      <c r="AS222" s="65"/>
      <c r="AT222" s="65"/>
    </row>
    <row r="223" spans="45:46" x14ac:dyDescent="0.25">
      <c r="AS223" s="65"/>
      <c r="AT223" s="65"/>
    </row>
    <row r="224" spans="45:46" x14ac:dyDescent="0.25">
      <c r="AS224" s="65"/>
      <c r="AT224" s="65"/>
    </row>
    <row r="225" spans="45:46" x14ac:dyDescent="0.25">
      <c r="AS225" s="65"/>
      <c r="AT225" s="65"/>
    </row>
    <row r="226" spans="45:46" x14ac:dyDescent="0.25">
      <c r="AS226" s="65"/>
      <c r="AT226" s="65"/>
    </row>
    <row r="227" spans="45:46" x14ac:dyDescent="0.25">
      <c r="AS227" s="65"/>
      <c r="AT227" s="65"/>
    </row>
    <row r="228" spans="45:46" x14ac:dyDescent="0.25">
      <c r="AS228" s="65"/>
      <c r="AT228" s="65"/>
    </row>
    <row r="229" spans="45:46" x14ac:dyDescent="0.25">
      <c r="AS229" s="65"/>
      <c r="AT229" s="65"/>
    </row>
    <row r="230" spans="45:46" x14ac:dyDescent="0.25">
      <c r="AS230" s="65"/>
      <c r="AT230" s="65"/>
    </row>
    <row r="231" spans="45:46" x14ac:dyDescent="0.25">
      <c r="AS231" s="65"/>
      <c r="AT231" s="65"/>
    </row>
    <row r="232" spans="45:46" x14ac:dyDescent="0.25">
      <c r="AS232" s="65"/>
      <c r="AT232" s="65"/>
    </row>
    <row r="233" spans="45:46" x14ac:dyDescent="0.25">
      <c r="AS233" s="65"/>
      <c r="AT233" s="65"/>
    </row>
    <row r="234" spans="45:46" x14ac:dyDescent="0.25">
      <c r="AS234" s="65"/>
      <c r="AT234" s="65"/>
    </row>
    <row r="235" spans="45:46" x14ac:dyDescent="0.25">
      <c r="AS235" s="65"/>
      <c r="AT235" s="65"/>
    </row>
    <row r="236" spans="45:46" x14ac:dyDescent="0.25">
      <c r="AS236" s="65"/>
      <c r="AT236" s="65"/>
    </row>
    <row r="237" spans="45:46" x14ac:dyDescent="0.25">
      <c r="AS237" s="65"/>
      <c r="AT237" s="65"/>
    </row>
    <row r="238" spans="45:46" x14ac:dyDescent="0.25">
      <c r="AS238" s="65"/>
      <c r="AT238" s="65"/>
    </row>
    <row r="239" spans="45:46" x14ac:dyDescent="0.25">
      <c r="AS239" s="65"/>
      <c r="AT239" s="65"/>
    </row>
    <row r="240" spans="45:46" x14ac:dyDescent="0.25">
      <c r="AS240" s="65"/>
      <c r="AT240" s="65"/>
    </row>
    <row r="241" spans="45:46" x14ac:dyDescent="0.25">
      <c r="AS241" s="65"/>
      <c r="AT241" s="65"/>
    </row>
    <row r="242" spans="45:46" x14ac:dyDescent="0.25">
      <c r="AS242" s="65"/>
      <c r="AT242" s="65"/>
    </row>
    <row r="243" spans="45:46" x14ac:dyDescent="0.25">
      <c r="AS243" s="65"/>
      <c r="AT243" s="65"/>
    </row>
    <row r="244" spans="45:46" x14ac:dyDescent="0.25">
      <c r="AS244" s="65"/>
      <c r="AT244" s="65"/>
    </row>
    <row r="245" spans="45:46" x14ac:dyDescent="0.25">
      <c r="AS245" s="65"/>
      <c r="AT245" s="65"/>
    </row>
    <row r="246" spans="45:46" x14ac:dyDescent="0.25">
      <c r="AS246" s="65"/>
      <c r="AT246" s="65"/>
    </row>
    <row r="247" spans="45:46" x14ac:dyDescent="0.25">
      <c r="AS247" s="65"/>
      <c r="AT247" s="65"/>
    </row>
    <row r="248" spans="45:46" x14ac:dyDescent="0.25">
      <c r="AS248" s="65"/>
      <c r="AT248" s="65"/>
    </row>
    <row r="249" spans="45:46" x14ac:dyDescent="0.25">
      <c r="AS249" s="65"/>
      <c r="AT249" s="65"/>
    </row>
    <row r="250" spans="45:46" x14ac:dyDescent="0.25">
      <c r="AS250" s="65"/>
      <c r="AT250" s="65"/>
    </row>
    <row r="251" spans="45:46" x14ac:dyDescent="0.25">
      <c r="AS251" s="65"/>
      <c r="AT251" s="65"/>
    </row>
    <row r="252" spans="45:46" x14ac:dyDescent="0.25">
      <c r="AS252" s="65"/>
      <c r="AT252" s="65"/>
    </row>
    <row r="253" spans="45:46" x14ac:dyDescent="0.25">
      <c r="AS253" s="65"/>
      <c r="AT253" s="65"/>
    </row>
    <row r="254" spans="45:46" x14ac:dyDescent="0.25">
      <c r="AS254" s="65"/>
      <c r="AT254" s="65"/>
    </row>
    <row r="255" spans="45:46" x14ac:dyDescent="0.25">
      <c r="AS255" s="65"/>
      <c r="AT255" s="65"/>
    </row>
    <row r="256" spans="45:46" x14ac:dyDescent="0.25">
      <c r="AS256" s="65"/>
      <c r="AT256" s="65"/>
    </row>
    <row r="257" spans="45:46" x14ac:dyDescent="0.25">
      <c r="AS257" s="65"/>
      <c r="AT257" s="65"/>
    </row>
    <row r="258" spans="45:46" x14ac:dyDescent="0.25">
      <c r="AS258" s="65"/>
      <c r="AT258" s="65"/>
    </row>
    <row r="259" spans="45:46" x14ac:dyDescent="0.25">
      <c r="AS259" s="65"/>
      <c r="AT259" s="65"/>
    </row>
    <row r="260" spans="45:46" x14ac:dyDescent="0.25">
      <c r="AS260" s="65"/>
      <c r="AT260" s="65"/>
    </row>
    <row r="261" spans="45:46" x14ac:dyDescent="0.25">
      <c r="AS261" s="65"/>
      <c r="AT261" s="65"/>
    </row>
    <row r="262" spans="45:46" x14ac:dyDescent="0.25">
      <c r="AS262" s="65"/>
      <c r="AT262" s="65"/>
    </row>
    <row r="263" spans="45:46" x14ac:dyDescent="0.25">
      <c r="AS263" s="65"/>
      <c r="AT263" s="65"/>
    </row>
    <row r="264" spans="45:46" x14ac:dyDescent="0.25">
      <c r="AS264" s="65"/>
      <c r="AT264" s="65"/>
    </row>
    <row r="265" spans="45:46" x14ac:dyDescent="0.25">
      <c r="AS265" s="65"/>
      <c r="AT265" s="65"/>
    </row>
    <row r="266" spans="45:46" x14ac:dyDescent="0.25">
      <c r="AS266" s="65"/>
      <c r="AT266" s="65"/>
    </row>
    <row r="267" spans="45:46" x14ac:dyDescent="0.25">
      <c r="AS267" s="65"/>
      <c r="AT267" s="65"/>
    </row>
    <row r="268" spans="45:46" x14ac:dyDescent="0.25">
      <c r="AS268" s="65"/>
      <c r="AT268" s="65"/>
    </row>
    <row r="269" spans="45:46" x14ac:dyDescent="0.25">
      <c r="AS269" s="65"/>
      <c r="AT269" s="65"/>
    </row>
    <row r="270" spans="45:46" x14ac:dyDescent="0.25">
      <c r="AS270" s="65"/>
      <c r="AT270" s="65"/>
    </row>
    <row r="271" spans="45:46" x14ac:dyDescent="0.25">
      <c r="AS271" s="65"/>
      <c r="AT271" s="65"/>
    </row>
    <row r="272" spans="45:46" x14ac:dyDescent="0.25">
      <c r="AS272" s="65"/>
      <c r="AT272" s="65"/>
    </row>
    <row r="273" spans="45:46" x14ac:dyDescent="0.25">
      <c r="AS273" s="65"/>
      <c r="AT273" s="65"/>
    </row>
    <row r="274" spans="45:46" x14ac:dyDescent="0.25">
      <c r="AS274" s="65"/>
      <c r="AT274" s="65"/>
    </row>
    <row r="275" spans="45:46" x14ac:dyDescent="0.25">
      <c r="AS275" s="65"/>
      <c r="AT275" s="65"/>
    </row>
    <row r="276" spans="45:46" x14ac:dyDescent="0.25">
      <c r="AS276" s="65"/>
      <c r="AT276" s="65"/>
    </row>
    <row r="277" spans="45:46" x14ac:dyDescent="0.25">
      <c r="AS277" s="65"/>
      <c r="AT277" s="65"/>
    </row>
    <row r="278" spans="45:46" x14ac:dyDescent="0.25">
      <c r="AS278" s="65"/>
      <c r="AT278" s="65"/>
    </row>
    <row r="279" spans="45:46" x14ac:dyDescent="0.25">
      <c r="AS279" s="65"/>
      <c r="AT279" s="65"/>
    </row>
    <row r="280" spans="45:46" x14ac:dyDescent="0.25">
      <c r="AS280" s="65"/>
      <c r="AT280" s="65"/>
    </row>
    <row r="281" spans="45:46" x14ac:dyDescent="0.25">
      <c r="AS281" s="65"/>
      <c r="AT281" s="65"/>
    </row>
    <row r="282" spans="45:46" x14ac:dyDescent="0.25">
      <c r="AS282" s="65"/>
      <c r="AT282" s="65"/>
    </row>
    <row r="283" spans="45:46" x14ac:dyDescent="0.25">
      <c r="AS283" s="65"/>
      <c r="AT283" s="65"/>
    </row>
    <row r="284" spans="45:46" x14ac:dyDescent="0.25">
      <c r="AS284" s="65"/>
      <c r="AT284" s="65"/>
    </row>
    <row r="285" spans="45:46" x14ac:dyDescent="0.25">
      <c r="AS285" s="65"/>
      <c r="AT285" s="65"/>
    </row>
    <row r="286" spans="45:46" x14ac:dyDescent="0.25">
      <c r="AS286" s="65"/>
      <c r="AT286" s="65"/>
    </row>
    <row r="287" spans="45:46" x14ac:dyDescent="0.25">
      <c r="AS287" s="65"/>
      <c r="AT287" s="65"/>
    </row>
    <row r="288" spans="45:46" x14ac:dyDescent="0.25">
      <c r="AS288" s="65"/>
      <c r="AT288" s="65"/>
    </row>
    <row r="289" spans="45:46" x14ac:dyDescent="0.25">
      <c r="AS289" s="65"/>
      <c r="AT289" s="65"/>
    </row>
    <row r="290" spans="45:46" x14ac:dyDescent="0.25">
      <c r="AS290" s="65"/>
      <c r="AT290" s="65"/>
    </row>
    <row r="291" spans="45:46" x14ac:dyDescent="0.25">
      <c r="AS291" s="65"/>
      <c r="AT291" s="65"/>
    </row>
    <row r="292" spans="45:46" x14ac:dyDescent="0.25">
      <c r="AS292" s="65"/>
      <c r="AT292" s="65"/>
    </row>
    <row r="293" spans="45:46" x14ac:dyDescent="0.25">
      <c r="AS293" s="65"/>
      <c r="AT293" s="65"/>
    </row>
    <row r="294" spans="45:46" x14ac:dyDescent="0.25">
      <c r="AS294" s="65"/>
      <c r="AT294" s="65"/>
    </row>
    <row r="295" spans="45:46" x14ac:dyDescent="0.25">
      <c r="AS295" s="65"/>
      <c r="AT295" s="65"/>
    </row>
    <row r="296" spans="45:46" x14ac:dyDescent="0.25">
      <c r="AS296" s="65"/>
      <c r="AT296" s="65"/>
    </row>
    <row r="297" spans="45:46" x14ac:dyDescent="0.25">
      <c r="AS297" s="65"/>
      <c r="AT297" s="65"/>
    </row>
    <row r="298" spans="45:46" x14ac:dyDescent="0.25">
      <c r="AS298" s="65"/>
      <c r="AT298" s="65"/>
    </row>
    <row r="299" spans="45:46" x14ac:dyDescent="0.25">
      <c r="AS299" s="65"/>
      <c r="AT299" s="65"/>
    </row>
    <row r="300" spans="45:46" x14ac:dyDescent="0.25">
      <c r="AS300" s="65"/>
      <c r="AT300" s="65"/>
    </row>
    <row r="301" spans="45:46" x14ac:dyDescent="0.25">
      <c r="AS301" s="65"/>
      <c r="AT301" s="65"/>
    </row>
    <row r="302" spans="45:46" x14ac:dyDescent="0.25">
      <c r="AS302" s="65"/>
      <c r="AT302" s="65"/>
    </row>
    <row r="303" spans="45:46" x14ac:dyDescent="0.25">
      <c r="AS303" s="65"/>
      <c r="AT303" s="65"/>
    </row>
    <row r="304" spans="45:46" x14ac:dyDescent="0.25">
      <c r="AS304" s="65"/>
      <c r="AT304" s="65"/>
    </row>
    <row r="305" spans="45:46" x14ac:dyDescent="0.25">
      <c r="AS305" s="65"/>
      <c r="AT305" s="65"/>
    </row>
    <row r="306" spans="45:46" x14ac:dyDescent="0.25">
      <c r="AS306" s="65"/>
      <c r="AT306" s="65"/>
    </row>
    <row r="307" spans="45:46" x14ac:dyDescent="0.25">
      <c r="AS307" s="65"/>
      <c r="AT307" s="65"/>
    </row>
    <row r="308" spans="45:46" x14ac:dyDescent="0.25">
      <c r="AS308" s="65"/>
      <c r="AT308" s="65"/>
    </row>
    <row r="309" spans="45:46" x14ac:dyDescent="0.25">
      <c r="AS309" s="65"/>
      <c r="AT309" s="65"/>
    </row>
    <row r="310" spans="45:46" x14ac:dyDescent="0.25">
      <c r="AS310" s="65"/>
      <c r="AT310" s="65"/>
    </row>
    <row r="311" spans="45:46" x14ac:dyDescent="0.25">
      <c r="AS311" s="65"/>
      <c r="AT311" s="65"/>
    </row>
    <row r="312" spans="45:46" x14ac:dyDescent="0.25">
      <c r="AS312" s="65"/>
      <c r="AT312" s="65"/>
    </row>
    <row r="313" spans="45:46" x14ac:dyDescent="0.25">
      <c r="AS313" s="65"/>
      <c r="AT313" s="65"/>
    </row>
    <row r="314" spans="45:46" x14ac:dyDescent="0.25">
      <c r="AS314" s="65"/>
      <c r="AT314" s="65"/>
    </row>
    <row r="315" spans="45:46" x14ac:dyDescent="0.25">
      <c r="AS315" s="65"/>
      <c r="AT315" s="65"/>
    </row>
    <row r="316" spans="45:46" x14ac:dyDescent="0.25">
      <c r="AS316" s="65"/>
      <c r="AT316" s="65"/>
    </row>
    <row r="317" spans="45:46" x14ac:dyDescent="0.25">
      <c r="AS317" s="65"/>
      <c r="AT317" s="65"/>
    </row>
    <row r="318" spans="45:46" x14ac:dyDescent="0.25">
      <c r="AS318" s="65"/>
      <c r="AT318" s="65"/>
    </row>
    <row r="319" spans="45:46" x14ac:dyDescent="0.25">
      <c r="AS319" s="65"/>
      <c r="AT319" s="65"/>
    </row>
    <row r="320" spans="45:46" x14ac:dyDescent="0.25">
      <c r="AS320" s="65"/>
      <c r="AT320" s="65"/>
    </row>
    <row r="321" spans="45:46" x14ac:dyDescent="0.25">
      <c r="AS321" s="65"/>
      <c r="AT321" s="65"/>
    </row>
    <row r="322" spans="45:46" x14ac:dyDescent="0.25">
      <c r="AS322" s="65"/>
      <c r="AT322" s="65"/>
    </row>
    <row r="323" spans="45:46" x14ac:dyDescent="0.25">
      <c r="AS323" s="65"/>
      <c r="AT323" s="65"/>
    </row>
    <row r="324" spans="45:46" x14ac:dyDescent="0.25">
      <c r="AS324" s="65"/>
      <c r="AT324" s="65"/>
    </row>
    <row r="325" spans="45:46" x14ac:dyDescent="0.25">
      <c r="AS325" s="65"/>
      <c r="AT325" s="65"/>
    </row>
    <row r="326" spans="45:46" x14ac:dyDescent="0.25">
      <c r="AS326" s="65"/>
      <c r="AT326" s="65"/>
    </row>
    <row r="327" spans="45:46" x14ac:dyDescent="0.25">
      <c r="AS327" s="65"/>
      <c r="AT327" s="65"/>
    </row>
    <row r="328" spans="45:46" x14ac:dyDescent="0.25">
      <c r="AS328" s="65"/>
      <c r="AT328" s="65"/>
    </row>
    <row r="329" spans="45:46" x14ac:dyDescent="0.25">
      <c r="AS329" s="65"/>
      <c r="AT329" s="65"/>
    </row>
    <row r="330" spans="45:46" x14ac:dyDescent="0.25">
      <c r="AS330" s="65"/>
      <c r="AT330" s="65"/>
    </row>
    <row r="331" spans="45:46" x14ac:dyDescent="0.25">
      <c r="AS331" s="65"/>
      <c r="AT331" s="65"/>
    </row>
    <row r="332" spans="45:46" x14ac:dyDescent="0.25">
      <c r="AS332" s="65"/>
      <c r="AT332" s="65"/>
    </row>
    <row r="333" spans="45:46" x14ac:dyDescent="0.25">
      <c r="AS333" s="65"/>
      <c r="AT333" s="65"/>
    </row>
    <row r="334" spans="45:46" x14ac:dyDescent="0.25">
      <c r="AS334" s="65"/>
      <c r="AT334" s="65"/>
    </row>
    <row r="335" spans="45:46" x14ac:dyDescent="0.25">
      <c r="AS335" s="65"/>
      <c r="AT335" s="65"/>
    </row>
    <row r="336" spans="45:46" x14ac:dyDescent="0.25">
      <c r="AS336" s="65"/>
      <c r="AT336" s="65"/>
    </row>
    <row r="337" spans="45:46" x14ac:dyDescent="0.25">
      <c r="AS337" s="65"/>
      <c r="AT337" s="65"/>
    </row>
    <row r="338" spans="45:46" x14ac:dyDescent="0.25">
      <c r="AS338" s="65"/>
      <c r="AT338" s="65"/>
    </row>
    <row r="339" spans="45:46" x14ac:dyDescent="0.25">
      <c r="AS339" s="65"/>
      <c r="AT339" s="65"/>
    </row>
    <row r="340" spans="45:46" x14ac:dyDescent="0.25">
      <c r="AS340" s="65"/>
      <c r="AT340" s="65"/>
    </row>
    <row r="341" spans="45:46" x14ac:dyDescent="0.25">
      <c r="AS341" s="65"/>
      <c r="AT341" s="65"/>
    </row>
    <row r="342" spans="45:46" x14ac:dyDescent="0.25">
      <c r="AS342" s="65"/>
      <c r="AT342" s="65"/>
    </row>
    <row r="343" spans="45:46" x14ac:dyDescent="0.25">
      <c r="AS343" s="65"/>
      <c r="AT343" s="65"/>
    </row>
    <row r="344" spans="45:46" x14ac:dyDescent="0.25">
      <c r="AS344" s="65"/>
      <c r="AT344" s="65"/>
    </row>
    <row r="345" spans="45:46" x14ac:dyDescent="0.25">
      <c r="AS345" s="65"/>
      <c r="AT345" s="65"/>
    </row>
    <row r="346" spans="45:46" x14ac:dyDescent="0.25">
      <c r="AS346" s="65"/>
      <c r="AT346" s="65"/>
    </row>
    <row r="347" spans="45:46" x14ac:dyDescent="0.25">
      <c r="AS347" s="65"/>
      <c r="AT347" s="65"/>
    </row>
    <row r="348" spans="45:46" x14ac:dyDescent="0.25">
      <c r="AS348" s="65"/>
      <c r="AT348" s="65"/>
    </row>
    <row r="349" spans="45:46" x14ac:dyDescent="0.25">
      <c r="AS349" s="65"/>
      <c r="AT349" s="65"/>
    </row>
    <row r="350" spans="45:46" x14ac:dyDescent="0.25">
      <c r="AS350" s="65"/>
      <c r="AT350" s="65"/>
    </row>
    <row r="351" spans="45:46" x14ac:dyDescent="0.25">
      <c r="AS351" s="65"/>
      <c r="AT351" s="65"/>
    </row>
    <row r="352" spans="45:46" x14ac:dyDescent="0.25">
      <c r="AS352" s="65"/>
      <c r="AT352" s="65"/>
    </row>
    <row r="353" spans="45:46" x14ac:dyDescent="0.25">
      <c r="AS353" s="65"/>
      <c r="AT353" s="65"/>
    </row>
    <row r="354" spans="45:46" x14ac:dyDescent="0.25">
      <c r="AS354" s="65"/>
      <c r="AT354" s="65"/>
    </row>
    <row r="355" spans="45:46" x14ac:dyDescent="0.25">
      <c r="AS355" s="65"/>
      <c r="AT355" s="65"/>
    </row>
    <row r="356" spans="45:46" x14ac:dyDescent="0.25">
      <c r="AS356" s="65"/>
      <c r="AT356" s="65"/>
    </row>
    <row r="357" spans="45:46" x14ac:dyDescent="0.25">
      <c r="AS357" s="65"/>
      <c r="AT357" s="65"/>
    </row>
    <row r="358" spans="45:46" x14ac:dyDescent="0.25">
      <c r="AS358" s="65"/>
      <c r="AT358" s="65"/>
    </row>
    <row r="359" spans="45:46" x14ac:dyDescent="0.25">
      <c r="AS359" s="65"/>
      <c r="AT359" s="65"/>
    </row>
    <row r="360" spans="45:46" x14ac:dyDescent="0.25">
      <c r="AS360" s="65"/>
      <c r="AT360" s="65"/>
    </row>
    <row r="361" spans="45:46" x14ac:dyDescent="0.25">
      <c r="AS361" s="65"/>
      <c r="AT361" s="65"/>
    </row>
    <row r="362" spans="45:46" x14ac:dyDescent="0.25">
      <c r="AS362" s="65"/>
      <c r="AT362" s="65"/>
    </row>
    <row r="363" spans="45:46" x14ac:dyDescent="0.25">
      <c r="AS363" s="65"/>
      <c r="AT363" s="65"/>
    </row>
    <row r="364" spans="45:46" x14ac:dyDescent="0.25">
      <c r="AS364" s="65"/>
      <c r="AT364" s="65"/>
    </row>
    <row r="365" spans="45:46" x14ac:dyDescent="0.25">
      <c r="AS365" s="65"/>
      <c r="AT365" s="65"/>
    </row>
    <row r="366" spans="45:46" x14ac:dyDescent="0.25">
      <c r="AS366" s="65"/>
      <c r="AT366" s="65"/>
    </row>
    <row r="367" spans="45:46" x14ac:dyDescent="0.25">
      <c r="AS367" s="65"/>
      <c r="AT367" s="65"/>
    </row>
    <row r="368" spans="45:46" x14ac:dyDescent="0.25">
      <c r="AS368" s="65"/>
      <c r="AT368" s="65"/>
    </row>
    <row r="369" spans="45:46" x14ac:dyDescent="0.25">
      <c r="AS369" s="65"/>
      <c r="AT369" s="65"/>
    </row>
    <row r="370" spans="45:46" x14ac:dyDescent="0.25">
      <c r="AS370" s="65"/>
      <c r="AT370" s="65"/>
    </row>
    <row r="371" spans="45:46" x14ac:dyDescent="0.25">
      <c r="AS371" s="65"/>
      <c r="AT371" s="65"/>
    </row>
    <row r="372" spans="45:46" x14ac:dyDescent="0.25">
      <c r="AS372" s="65"/>
      <c r="AT372" s="65"/>
    </row>
    <row r="373" spans="45:46" x14ac:dyDescent="0.25">
      <c r="AS373" s="65"/>
      <c r="AT373" s="65"/>
    </row>
    <row r="374" spans="45:46" x14ac:dyDescent="0.25">
      <c r="AS374" s="65"/>
      <c r="AT374" s="65"/>
    </row>
    <row r="375" spans="45:46" x14ac:dyDescent="0.25">
      <c r="AS375" s="65"/>
      <c r="AT375" s="65"/>
    </row>
    <row r="376" spans="45:46" x14ac:dyDescent="0.25">
      <c r="AS376" s="65"/>
      <c r="AT376" s="65"/>
    </row>
    <row r="377" spans="45:46" x14ac:dyDescent="0.25">
      <c r="AS377" s="65"/>
      <c r="AT377" s="65"/>
    </row>
    <row r="378" spans="45:46" x14ac:dyDescent="0.25">
      <c r="AS378" s="65"/>
      <c r="AT378" s="65"/>
    </row>
    <row r="379" spans="45:46" x14ac:dyDescent="0.25">
      <c r="AS379" s="65"/>
      <c r="AT379" s="65"/>
    </row>
    <row r="380" spans="45:46" x14ac:dyDescent="0.25">
      <c r="AS380" s="65"/>
      <c r="AT380" s="65"/>
    </row>
    <row r="381" spans="45:46" x14ac:dyDescent="0.25">
      <c r="AS381" s="65"/>
      <c r="AT381" s="65"/>
    </row>
    <row r="382" spans="45:46" x14ac:dyDescent="0.25">
      <c r="AS382" s="65"/>
      <c r="AT382" s="65"/>
    </row>
    <row r="383" spans="45:46" x14ac:dyDescent="0.25">
      <c r="AS383" s="65"/>
      <c r="AT383" s="65"/>
    </row>
    <row r="384" spans="45:46" x14ac:dyDescent="0.25">
      <c r="AS384" s="65"/>
      <c r="AT384" s="65"/>
    </row>
    <row r="385" spans="45:46" x14ac:dyDescent="0.25">
      <c r="AS385" s="65"/>
      <c r="AT385" s="65"/>
    </row>
    <row r="386" spans="45:46" x14ac:dyDescent="0.25">
      <c r="AS386" s="65"/>
      <c r="AT386" s="65"/>
    </row>
    <row r="387" spans="45:46" x14ac:dyDescent="0.25">
      <c r="AS387" s="65"/>
      <c r="AT387" s="65"/>
    </row>
    <row r="388" spans="45:46" x14ac:dyDescent="0.25">
      <c r="AS388" s="65"/>
      <c r="AT388" s="65"/>
    </row>
    <row r="389" spans="45:46" x14ac:dyDescent="0.25">
      <c r="AS389" s="65"/>
      <c r="AT389" s="65"/>
    </row>
    <row r="390" spans="45:46" x14ac:dyDescent="0.25">
      <c r="AS390" s="65"/>
      <c r="AT390" s="65"/>
    </row>
    <row r="391" spans="45:46" x14ac:dyDescent="0.25">
      <c r="AS391" s="65"/>
      <c r="AT391" s="65"/>
    </row>
    <row r="392" spans="45:46" x14ac:dyDescent="0.25">
      <c r="AS392" s="65"/>
      <c r="AT392" s="65"/>
    </row>
    <row r="393" spans="45:46" x14ac:dyDescent="0.25">
      <c r="AS393" s="65"/>
      <c r="AT393" s="65"/>
    </row>
    <row r="394" spans="45:46" x14ac:dyDescent="0.25">
      <c r="AS394" s="65"/>
      <c r="AT394" s="65"/>
    </row>
    <row r="395" spans="45:46" x14ac:dyDescent="0.25">
      <c r="AS395" s="65"/>
      <c r="AT395" s="65"/>
    </row>
    <row r="396" spans="45:46" x14ac:dyDescent="0.25">
      <c r="AS396" s="65"/>
      <c r="AT396" s="65"/>
    </row>
    <row r="397" spans="45:46" x14ac:dyDescent="0.25">
      <c r="AS397" s="65"/>
      <c r="AT397" s="65"/>
    </row>
    <row r="398" spans="45:46" x14ac:dyDescent="0.25">
      <c r="AS398" s="65"/>
      <c r="AT398" s="65"/>
    </row>
    <row r="399" spans="45:46" x14ac:dyDescent="0.25">
      <c r="AS399" s="65"/>
      <c r="AT399" s="65"/>
    </row>
    <row r="400" spans="45:46" x14ac:dyDescent="0.25">
      <c r="AS400" s="65"/>
      <c r="AT400" s="65"/>
    </row>
    <row r="401" spans="45:46" x14ac:dyDescent="0.25">
      <c r="AS401" s="65"/>
      <c r="AT401" s="65"/>
    </row>
    <row r="402" spans="45:46" x14ac:dyDescent="0.25">
      <c r="AS402" s="65"/>
      <c r="AT402" s="65"/>
    </row>
    <row r="403" spans="45:46" x14ac:dyDescent="0.25">
      <c r="AS403" s="65"/>
      <c r="AT403" s="65"/>
    </row>
    <row r="404" spans="45:46" x14ac:dyDescent="0.25">
      <c r="AS404" s="65"/>
      <c r="AT404" s="65"/>
    </row>
    <row r="405" spans="45:46" x14ac:dyDescent="0.25">
      <c r="AS405" s="65"/>
      <c r="AT405" s="65"/>
    </row>
    <row r="406" spans="45:46" x14ac:dyDescent="0.25">
      <c r="AS406" s="65"/>
      <c r="AT406" s="65"/>
    </row>
    <row r="407" spans="45:46" x14ac:dyDescent="0.25">
      <c r="AS407" s="65"/>
      <c r="AT407" s="65"/>
    </row>
    <row r="408" spans="45:46" x14ac:dyDescent="0.25">
      <c r="AS408" s="65"/>
      <c r="AT408" s="65"/>
    </row>
    <row r="409" spans="45:46" x14ac:dyDescent="0.25">
      <c r="AS409" s="65"/>
      <c r="AT409" s="65"/>
    </row>
    <row r="410" spans="45:46" x14ac:dyDescent="0.25">
      <c r="AS410" s="65"/>
      <c r="AT410" s="65"/>
    </row>
    <row r="411" spans="45:46" x14ac:dyDescent="0.25">
      <c r="AS411" s="65"/>
      <c r="AT411" s="65"/>
    </row>
    <row r="412" spans="45:46" x14ac:dyDescent="0.25">
      <c r="AS412" s="65"/>
      <c r="AT412" s="65"/>
    </row>
    <row r="413" spans="45:46" x14ac:dyDescent="0.25">
      <c r="AS413" s="65"/>
      <c r="AT413" s="65"/>
    </row>
    <row r="414" spans="45:46" x14ac:dyDescent="0.25">
      <c r="AS414" s="65"/>
      <c r="AT414" s="65"/>
    </row>
    <row r="415" spans="45:46" x14ac:dyDescent="0.25">
      <c r="AS415" s="65"/>
      <c r="AT415" s="65"/>
    </row>
    <row r="416" spans="45:46" x14ac:dyDescent="0.25">
      <c r="AS416" s="65"/>
      <c r="AT416" s="65"/>
    </row>
    <row r="417" spans="45:46" x14ac:dyDescent="0.25">
      <c r="AS417" s="65"/>
      <c r="AT417" s="65"/>
    </row>
    <row r="418" spans="45:46" x14ac:dyDescent="0.25">
      <c r="AS418" s="65"/>
      <c r="AT418" s="65"/>
    </row>
    <row r="419" spans="45:46" x14ac:dyDescent="0.25">
      <c r="AS419" s="65"/>
      <c r="AT419" s="65"/>
    </row>
    <row r="420" spans="45:46" x14ac:dyDescent="0.25">
      <c r="AS420" s="65"/>
      <c r="AT420" s="65"/>
    </row>
    <row r="421" spans="45:46" x14ac:dyDescent="0.25">
      <c r="AS421" s="65"/>
      <c r="AT421" s="65"/>
    </row>
    <row r="422" spans="45:46" x14ac:dyDescent="0.25">
      <c r="AS422" s="65"/>
      <c r="AT422" s="65"/>
    </row>
    <row r="423" spans="45:46" x14ac:dyDescent="0.25">
      <c r="AS423" s="65"/>
      <c r="AT423" s="65"/>
    </row>
    <row r="424" spans="45:46" x14ac:dyDescent="0.25">
      <c r="AS424" s="65"/>
      <c r="AT424" s="65"/>
    </row>
    <row r="425" spans="45:46" x14ac:dyDescent="0.25">
      <c r="AS425" s="65"/>
      <c r="AT425" s="65"/>
    </row>
    <row r="426" spans="45:46" x14ac:dyDescent="0.25">
      <c r="AS426" s="65"/>
      <c r="AT426" s="65"/>
    </row>
    <row r="427" spans="45:46" x14ac:dyDescent="0.25">
      <c r="AS427" s="65"/>
      <c r="AT427" s="65"/>
    </row>
    <row r="428" spans="45:46" x14ac:dyDescent="0.25">
      <c r="AS428" s="65"/>
      <c r="AT428" s="65"/>
    </row>
    <row r="429" spans="45:46" x14ac:dyDescent="0.25">
      <c r="AS429" s="65"/>
      <c r="AT429" s="65"/>
    </row>
    <row r="430" spans="45:46" x14ac:dyDescent="0.25">
      <c r="AS430" s="65"/>
      <c r="AT430" s="65"/>
    </row>
    <row r="431" spans="45:46" x14ac:dyDescent="0.25">
      <c r="AS431" s="65"/>
      <c r="AT431" s="65"/>
    </row>
    <row r="432" spans="45:46" x14ac:dyDescent="0.25">
      <c r="AS432" s="65"/>
      <c r="AT432" s="65"/>
    </row>
    <row r="433" spans="45:46" x14ac:dyDescent="0.25">
      <c r="AS433" s="65"/>
      <c r="AT433" s="65"/>
    </row>
    <row r="434" spans="45:46" x14ac:dyDescent="0.25">
      <c r="AS434" s="65"/>
      <c r="AT434" s="65"/>
    </row>
    <row r="435" spans="45:46" x14ac:dyDescent="0.25">
      <c r="AS435" s="65"/>
      <c r="AT435" s="65"/>
    </row>
    <row r="436" spans="45:46" x14ac:dyDescent="0.25">
      <c r="AS436" s="65"/>
      <c r="AT436" s="65"/>
    </row>
    <row r="437" spans="45:46" x14ac:dyDescent="0.25">
      <c r="AS437" s="65"/>
      <c r="AT437" s="65"/>
    </row>
    <row r="438" spans="45:46" x14ac:dyDescent="0.25">
      <c r="AS438" s="65"/>
      <c r="AT438" s="65"/>
    </row>
    <row r="439" spans="45:46" x14ac:dyDescent="0.25">
      <c r="AS439" s="65"/>
      <c r="AT439" s="65"/>
    </row>
    <row r="440" spans="45:46" x14ac:dyDescent="0.25">
      <c r="AS440" s="65"/>
      <c r="AT440" s="65"/>
    </row>
    <row r="441" spans="45:46" x14ac:dyDescent="0.25">
      <c r="AS441" s="65"/>
      <c r="AT441" s="65"/>
    </row>
    <row r="442" spans="45:46" x14ac:dyDescent="0.25">
      <c r="AS442" s="65"/>
      <c r="AT442" s="65"/>
    </row>
    <row r="443" spans="45:46" x14ac:dyDescent="0.25">
      <c r="AS443" s="65"/>
      <c r="AT443" s="65"/>
    </row>
    <row r="444" spans="45:46" x14ac:dyDescent="0.25">
      <c r="AS444" s="65"/>
      <c r="AT444" s="65"/>
    </row>
    <row r="445" spans="45:46" x14ac:dyDescent="0.25">
      <c r="AS445" s="65"/>
      <c r="AT445" s="65"/>
    </row>
    <row r="446" spans="45:46" x14ac:dyDescent="0.25">
      <c r="AS446" s="65"/>
      <c r="AT446" s="65"/>
    </row>
    <row r="447" spans="45:46" x14ac:dyDescent="0.25">
      <c r="AS447" s="65"/>
      <c r="AT447" s="65"/>
    </row>
    <row r="448" spans="45:46" x14ac:dyDescent="0.25">
      <c r="AS448" s="65"/>
      <c r="AT448" s="65"/>
    </row>
    <row r="449" spans="45:46" x14ac:dyDescent="0.25">
      <c r="AS449" s="65"/>
      <c r="AT449" s="65"/>
    </row>
    <row r="450" spans="45:46" x14ac:dyDescent="0.25">
      <c r="AS450" s="65"/>
      <c r="AT450" s="65"/>
    </row>
    <row r="451" spans="45:46" x14ac:dyDescent="0.25">
      <c r="AS451" s="65"/>
      <c r="AT451" s="65"/>
    </row>
    <row r="452" spans="45:46" x14ac:dyDescent="0.25">
      <c r="AS452" s="65"/>
      <c r="AT452" s="65"/>
    </row>
    <row r="453" spans="45:46" x14ac:dyDescent="0.25">
      <c r="AS453" s="65"/>
      <c r="AT453" s="65"/>
    </row>
    <row r="454" spans="45:46" x14ac:dyDescent="0.25">
      <c r="AS454" s="65"/>
      <c r="AT454" s="65"/>
    </row>
    <row r="455" spans="45:46" x14ac:dyDescent="0.25">
      <c r="AS455" s="65"/>
      <c r="AT455" s="65"/>
    </row>
    <row r="456" spans="45:46" x14ac:dyDescent="0.25">
      <c r="AS456" s="65"/>
      <c r="AT456" s="65"/>
    </row>
    <row r="457" spans="45:46" x14ac:dyDescent="0.25">
      <c r="AS457" s="65"/>
      <c r="AT457" s="65"/>
    </row>
    <row r="458" spans="45:46" x14ac:dyDescent="0.25">
      <c r="AS458" s="65"/>
      <c r="AT458" s="65"/>
    </row>
    <row r="459" spans="45:46" x14ac:dyDescent="0.25">
      <c r="AS459" s="65"/>
      <c r="AT459" s="65"/>
    </row>
    <row r="460" spans="45:46" x14ac:dyDescent="0.25">
      <c r="AS460" s="65"/>
      <c r="AT460" s="65"/>
    </row>
    <row r="461" spans="45:46" x14ac:dyDescent="0.25">
      <c r="AS461" s="65"/>
      <c r="AT461" s="65"/>
    </row>
    <row r="462" spans="45:46" x14ac:dyDescent="0.25">
      <c r="AS462" s="65"/>
      <c r="AT462" s="65"/>
    </row>
    <row r="463" spans="45:46" x14ac:dyDescent="0.25">
      <c r="AS463" s="65"/>
      <c r="AT463" s="65"/>
    </row>
    <row r="464" spans="45:46" x14ac:dyDescent="0.25">
      <c r="AS464" s="65"/>
      <c r="AT464" s="65"/>
    </row>
    <row r="465" spans="45:46" x14ac:dyDescent="0.25">
      <c r="AS465" s="65"/>
      <c r="AT465" s="65"/>
    </row>
    <row r="466" spans="45:46" x14ac:dyDescent="0.25">
      <c r="AS466" s="65"/>
      <c r="AT466" s="65"/>
    </row>
    <row r="467" spans="45:46" x14ac:dyDescent="0.25">
      <c r="AS467" s="65"/>
      <c r="AT467" s="65"/>
    </row>
    <row r="468" spans="45:46" x14ac:dyDescent="0.25">
      <c r="AS468" s="65"/>
      <c r="AT468" s="65"/>
    </row>
    <row r="469" spans="45:46" x14ac:dyDescent="0.25">
      <c r="AS469" s="65"/>
      <c r="AT469" s="65"/>
    </row>
    <row r="470" spans="45:46" x14ac:dyDescent="0.25">
      <c r="AS470" s="65"/>
      <c r="AT470" s="65"/>
    </row>
    <row r="471" spans="45:46" x14ac:dyDescent="0.25">
      <c r="AS471" s="65"/>
      <c r="AT471" s="65"/>
    </row>
    <row r="472" spans="45:46" x14ac:dyDescent="0.25">
      <c r="AS472" s="65"/>
      <c r="AT472" s="65"/>
    </row>
    <row r="473" spans="45:46" x14ac:dyDescent="0.25">
      <c r="AS473" s="65"/>
      <c r="AT473" s="65"/>
    </row>
    <row r="474" spans="45:46" x14ac:dyDescent="0.25">
      <c r="AS474" s="65"/>
      <c r="AT474" s="65"/>
    </row>
    <row r="475" spans="45:46" x14ac:dyDescent="0.25">
      <c r="AS475" s="65"/>
      <c r="AT475" s="65"/>
    </row>
    <row r="476" spans="45:46" x14ac:dyDescent="0.25">
      <c r="AS476" s="65"/>
      <c r="AT476" s="65"/>
    </row>
    <row r="477" spans="45:46" x14ac:dyDescent="0.25">
      <c r="AS477" s="65"/>
      <c r="AT477" s="65"/>
    </row>
    <row r="478" spans="45:46" x14ac:dyDescent="0.25">
      <c r="AS478" s="65"/>
      <c r="AT478" s="65"/>
    </row>
    <row r="479" spans="45:46" x14ac:dyDescent="0.25">
      <c r="AS479" s="65"/>
      <c r="AT479" s="65"/>
    </row>
    <row r="480" spans="45:46" x14ac:dyDescent="0.25">
      <c r="AS480" s="65"/>
      <c r="AT480" s="65"/>
    </row>
    <row r="481" spans="45:46" x14ac:dyDescent="0.25">
      <c r="AS481" s="65"/>
      <c r="AT481" s="65"/>
    </row>
    <row r="482" spans="45:46" x14ac:dyDescent="0.25">
      <c r="AS482" s="65"/>
      <c r="AT482" s="65"/>
    </row>
    <row r="483" spans="45:46" x14ac:dyDescent="0.25">
      <c r="AS483" s="65"/>
      <c r="AT483" s="65"/>
    </row>
    <row r="484" spans="45:46" x14ac:dyDescent="0.25">
      <c r="AS484" s="65"/>
      <c r="AT484" s="65"/>
    </row>
    <row r="485" spans="45:46" x14ac:dyDescent="0.25">
      <c r="AS485" s="65"/>
      <c r="AT485" s="65"/>
    </row>
    <row r="486" spans="45:46" x14ac:dyDescent="0.25">
      <c r="AS486" s="65"/>
      <c r="AT486" s="65"/>
    </row>
    <row r="487" spans="45:46" x14ac:dyDescent="0.25">
      <c r="AS487" s="65"/>
      <c r="AT487" s="65"/>
    </row>
    <row r="488" spans="45:46" x14ac:dyDescent="0.25">
      <c r="AS488" s="65"/>
      <c r="AT488" s="65"/>
    </row>
    <row r="489" spans="45:46" x14ac:dyDescent="0.25">
      <c r="AS489" s="65"/>
      <c r="AT489" s="65"/>
    </row>
    <row r="490" spans="45:46" x14ac:dyDescent="0.25">
      <c r="AS490" s="65"/>
      <c r="AT490" s="65"/>
    </row>
    <row r="491" spans="45:46" x14ac:dyDescent="0.25">
      <c r="AS491" s="65"/>
      <c r="AT491" s="65"/>
    </row>
    <row r="492" spans="45:46" x14ac:dyDescent="0.25">
      <c r="AS492" s="65"/>
      <c r="AT492" s="65"/>
    </row>
    <row r="493" spans="45:46" x14ac:dyDescent="0.25">
      <c r="AS493" s="65"/>
      <c r="AT493" s="65"/>
    </row>
    <row r="494" spans="45:46" x14ac:dyDescent="0.25">
      <c r="AS494" s="65"/>
      <c r="AT494" s="65"/>
    </row>
    <row r="495" spans="45:46" x14ac:dyDescent="0.25">
      <c r="AS495" s="65"/>
      <c r="AT495" s="65"/>
    </row>
    <row r="496" spans="45:46" x14ac:dyDescent="0.25">
      <c r="AS496" s="65"/>
      <c r="AT496" s="65"/>
    </row>
    <row r="497" spans="45:46" x14ac:dyDescent="0.25">
      <c r="AS497" s="65"/>
      <c r="AT497" s="65"/>
    </row>
    <row r="498" spans="45:46" x14ac:dyDescent="0.25">
      <c r="AS498" s="65"/>
      <c r="AT498" s="65"/>
    </row>
    <row r="499" spans="45:46" x14ac:dyDescent="0.25">
      <c r="AS499" s="65"/>
      <c r="AT499" s="65"/>
    </row>
    <row r="500" spans="45:46" x14ac:dyDescent="0.25">
      <c r="AS500" s="65"/>
      <c r="AT500" s="65"/>
    </row>
    <row r="501" spans="45:46" x14ac:dyDescent="0.25">
      <c r="AS501" s="65"/>
      <c r="AT501" s="65"/>
    </row>
    <row r="502" spans="45:46" x14ac:dyDescent="0.25">
      <c r="AS502" s="65"/>
      <c r="AT502" s="65"/>
    </row>
    <row r="503" spans="45:46" x14ac:dyDescent="0.25">
      <c r="AS503" s="65"/>
      <c r="AT503" s="65"/>
    </row>
    <row r="504" spans="45:46" x14ac:dyDescent="0.25">
      <c r="AS504" s="65"/>
      <c r="AT504" s="65"/>
    </row>
    <row r="505" spans="45:46" x14ac:dyDescent="0.25">
      <c r="AS505" s="65"/>
      <c r="AT505" s="65"/>
    </row>
    <row r="506" spans="45:46" x14ac:dyDescent="0.25">
      <c r="AS506" s="65"/>
      <c r="AT506" s="65"/>
    </row>
    <row r="507" spans="45:46" x14ac:dyDescent="0.25">
      <c r="AS507" s="65"/>
      <c r="AT507" s="65"/>
    </row>
    <row r="508" spans="45:46" x14ac:dyDescent="0.25">
      <c r="AS508" s="65"/>
      <c r="AT508" s="65"/>
    </row>
    <row r="509" spans="45:46" x14ac:dyDescent="0.25">
      <c r="AS509" s="65"/>
      <c r="AT509" s="65"/>
    </row>
    <row r="510" spans="45:46" x14ac:dyDescent="0.25">
      <c r="AS510" s="65"/>
      <c r="AT510" s="65"/>
    </row>
    <row r="511" spans="45:46" x14ac:dyDescent="0.25">
      <c r="AS511" s="65"/>
      <c r="AT511" s="65"/>
    </row>
    <row r="512" spans="45:46" x14ac:dyDescent="0.25">
      <c r="AS512" s="65"/>
      <c r="AT512" s="65"/>
    </row>
    <row r="513" spans="45:46" x14ac:dyDescent="0.25">
      <c r="AS513" s="65"/>
      <c r="AT513" s="65"/>
    </row>
    <row r="514" spans="45:46" x14ac:dyDescent="0.25">
      <c r="AS514" s="65"/>
      <c r="AT514" s="65"/>
    </row>
    <row r="515" spans="45:46" x14ac:dyDescent="0.25">
      <c r="AS515" s="65"/>
      <c r="AT515" s="65"/>
    </row>
    <row r="516" spans="45:46" x14ac:dyDescent="0.25">
      <c r="AS516" s="65"/>
      <c r="AT516" s="65"/>
    </row>
    <row r="517" spans="45:46" x14ac:dyDescent="0.25">
      <c r="AS517" s="65"/>
      <c r="AT517" s="65"/>
    </row>
    <row r="518" spans="45:46" x14ac:dyDescent="0.25">
      <c r="AS518" s="65"/>
      <c r="AT518" s="65"/>
    </row>
    <row r="519" spans="45:46" x14ac:dyDescent="0.25">
      <c r="AS519" s="65"/>
      <c r="AT519" s="65"/>
    </row>
    <row r="520" spans="45:46" x14ac:dyDescent="0.25">
      <c r="AS520" s="65"/>
      <c r="AT520" s="65"/>
    </row>
    <row r="521" spans="45:46" x14ac:dyDescent="0.25">
      <c r="AS521" s="65"/>
      <c r="AT521" s="65"/>
    </row>
    <row r="522" spans="45:46" x14ac:dyDescent="0.25">
      <c r="AS522" s="65"/>
      <c r="AT522" s="65"/>
    </row>
    <row r="523" spans="45:46" x14ac:dyDescent="0.25">
      <c r="AS523" s="65"/>
      <c r="AT523" s="65"/>
    </row>
    <row r="524" spans="45:46" x14ac:dyDescent="0.25">
      <c r="AS524" s="65"/>
      <c r="AT524" s="65"/>
    </row>
    <row r="525" spans="45:46" x14ac:dyDescent="0.25">
      <c r="AS525" s="65"/>
      <c r="AT525" s="65"/>
    </row>
    <row r="526" spans="45:46" x14ac:dyDescent="0.25">
      <c r="AS526" s="65"/>
      <c r="AT526" s="65"/>
    </row>
    <row r="527" spans="45:46" x14ac:dyDescent="0.25">
      <c r="AS527" s="65"/>
      <c r="AT527" s="65"/>
    </row>
    <row r="528" spans="45:46" x14ac:dyDescent="0.25">
      <c r="AS528" s="65"/>
      <c r="AT528" s="65"/>
    </row>
    <row r="529" spans="45:46" x14ac:dyDescent="0.25">
      <c r="AS529" s="65"/>
      <c r="AT529" s="65"/>
    </row>
    <row r="530" spans="45:46" x14ac:dyDescent="0.25">
      <c r="AS530" s="65"/>
      <c r="AT530" s="65"/>
    </row>
    <row r="531" spans="45:46" x14ac:dyDescent="0.25">
      <c r="AS531" s="65"/>
      <c r="AT531" s="65"/>
    </row>
    <row r="532" spans="45:46" x14ac:dyDescent="0.25">
      <c r="AS532" s="65"/>
      <c r="AT532" s="65"/>
    </row>
    <row r="533" spans="45:46" x14ac:dyDescent="0.25">
      <c r="AS533" s="65"/>
      <c r="AT533" s="65"/>
    </row>
    <row r="534" spans="45:46" x14ac:dyDescent="0.25">
      <c r="AS534" s="65"/>
      <c r="AT534" s="65"/>
    </row>
    <row r="535" spans="45:46" x14ac:dyDescent="0.25">
      <c r="AS535" s="65"/>
      <c r="AT535" s="65"/>
    </row>
    <row r="536" spans="45:46" x14ac:dyDescent="0.25">
      <c r="AS536" s="65"/>
      <c r="AT536" s="65"/>
    </row>
    <row r="537" spans="45:46" x14ac:dyDescent="0.25">
      <c r="AS537" s="65"/>
      <c r="AT537" s="65"/>
    </row>
    <row r="538" spans="45:46" x14ac:dyDescent="0.25">
      <c r="AS538" s="65"/>
      <c r="AT538" s="65"/>
    </row>
    <row r="539" spans="45:46" x14ac:dyDescent="0.25">
      <c r="AS539" s="65"/>
      <c r="AT539" s="65"/>
    </row>
    <row r="540" spans="45:46" x14ac:dyDescent="0.25">
      <c r="AS540" s="65"/>
      <c r="AT540" s="65"/>
    </row>
    <row r="541" spans="45:46" x14ac:dyDescent="0.25">
      <c r="AS541" s="65"/>
      <c r="AT541" s="65"/>
    </row>
    <row r="542" spans="45:46" x14ac:dyDescent="0.25">
      <c r="AS542" s="65"/>
      <c r="AT542" s="65"/>
    </row>
    <row r="543" spans="45:46" x14ac:dyDescent="0.25">
      <c r="AS543" s="65"/>
      <c r="AT543" s="65"/>
    </row>
    <row r="544" spans="45:46" x14ac:dyDescent="0.25">
      <c r="AS544" s="65"/>
      <c r="AT544" s="65"/>
    </row>
    <row r="545" spans="45:46" x14ac:dyDescent="0.25">
      <c r="AS545" s="65"/>
      <c r="AT545" s="65"/>
    </row>
    <row r="546" spans="45:46" x14ac:dyDescent="0.25">
      <c r="AS546" s="65"/>
      <c r="AT546" s="65"/>
    </row>
    <row r="547" spans="45:46" x14ac:dyDescent="0.25">
      <c r="AS547" s="65"/>
      <c r="AT547" s="65"/>
    </row>
    <row r="548" spans="45:46" x14ac:dyDescent="0.25">
      <c r="AS548" s="65"/>
      <c r="AT548" s="65"/>
    </row>
    <row r="549" spans="45:46" x14ac:dyDescent="0.25">
      <c r="AS549" s="65"/>
      <c r="AT549" s="65"/>
    </row>
    <row r="550" spans="45:46" x14ac:dyDescent="0.25">
      <c r="AS550" s="65"/>
      <c r="AT550" s="65"/>
    </row>
    <row r="551" spans="45:46" x14ac:dyDescent="0.25">
      <c r="AS551" s="65"/>
      <c r="AT551" s="65"/>
    </row>
    <row r="552" spans="45:46" x14ac:dyDescent="0.25">
      <c r="AS552" s="65"/>
      <c r="AT552" s="65"/>
    </row>
    <row r="553" spans="45:46" x14ac:dyDescent="0.25">
      <c r="AS553" s="65"/>
      <c r="AT553" s="65"/>
    </row>
    <row r="554" spans="45:46" x14ac:dyDescent="0.25">
      <c r="AS554" s="65"/>
      <c r="AT554" s="65"/>
    </row>
    <row r="555" spans="45:46" x14ac:dyDescent="0.25">
      <c r="AS555" s="65"/>
      <c r="AT555" s="65"/>
    </row>
    <row r="556" spans="45:46" x14ac:dyDescent="0.25">
      <c r="AS556" s="65"/>
      <c r="AT556" s="65"/>
    </row>
    <row r="557" spans="45:46" x14ac:dyDescent="0.25">
      <c r="AS557" s="65"/>
      <c r="AT557" s="65"/>
    </row>
    <row r="558" spans="45:46" x14ac:dyDescent="0.25">
      <c r="AS558" s="65"/>
      <c r="AT558" s="65"/>
    </row>
    <row r="559" spans="45:46" x14ac:dyDescent="0.25">
      <c r="AS559" s="65"/>
      <c r="AT559" s="65"/>
    </row>
    <row r="560" spans="45:46" x14ac:dyDescent="0.25">
      <c r="AS560" s="65"/>
      <c r="AT560" s="65"/>
    </row>
    <row r="561" spans="45:46" x14ac:dyDescent="0.25">
      <c r="AS561" s="65"/>
      <c r="AT561" s="65"/>
    </row>
    <row r="562" spans="45:46" x14ac:dyDescent="0.25">
      <c r="AS562" s="65"/>
      <c r="AT562" s="65"/>
    </row>
    <row r="563" spans="45:46" x14ac:dyDescent="0.25">
      <c r="AS563" s="65"/>
      <c r="AT563" s="65"/>
    </row>
    <row r="564" spans="45:46" x14ac:dyDescent="0.25">
      <c r="AS564" s="65"/>
      <c r="AT564" s="65"/>
    </row>
    <row r="565" spans="45:46" x14ac:dyDescent="0.25">
      <c r="AS565" s="65"/>
      <c r="AT565" s="65"/>
    </row>
    <row r="566" spans="45:46" x14ac:dyDescent="0.25">
      <c r="AS566" s="65"/>
      <c r="AT566" s="65"/>
    </row>
    <row r="567" spans="45:46" x14ac:dyDescent="0.25">
      <c r="AS567" s="65"/>
      <c r="AT567" s="65"/>
    </row>
    <row r="568" spans="45:46" x14ac:dyDescent="0.25">
      <c r="AS568" s="65"/>
      <c r="AT568" s="65"/>
    </row>
    <row r="569" spans="45:46" x14ac:dyDescent="0.25">
      <c r="AS569" s="65"/>
      <c r="AT569" s="65"/>
    </row>
    <row r="570" spans="45:46" x14ac:dyDescent="0.25">
      <c r="AS570" s="65"/>
      <c r="AT570" s="65"/>
    </row>
    <row r="571" spans="45:46" x14ac:dyDescent="0.25">
      <c r="AS571" s="65"/>
      <c r="AT571" s="65"/>
    </row>
    <row r="572" spans="45:46" x14ac:dyDescent="0.25">
      <c r="AS572" s="65"/>
      <c r="AT572" s="65"/>
    </row>
    <row r="573" spans="45:46" x14ac:dyDescent="0.25">
      <c r="AS573" s="65"/>
      <c r="AT573" s="65"/>
    </row>
    <row r="574" spans="45:46" x14ac:dyDescent="0.25">
      <c r="AS574" s="65"/>
      <c r="AT574" s="65"/>
    </row>
    <row r="575" spans="45:46" x14ac:dyDescent="0.25">
      <c r="AS575" s="65"/>
      <c r="AT575" s="65"/>
    </row>
    <row r="576" spans="45:46" x14ac:dyDescent="0.25">
      <c r="AS576" s="65"/>
      <c r="AT576" s="65"/>
    </row>
    <row r="577" spans="45:46" x14ac:dyDescent="0.25">
      <c r="AS577" s="65"/>
      <c r="AT577" s="65"/>
    </row>
    <row r="578" spans="45:46" x14ac:dyDescent="0.25">
      <c r="AS578" s="65"/>
      <c r="AT578" s="65"/>
    </row>
    <row r="579" spans="45:46" x14ac:dyDescent="0.25">
      <c r="AS579" s="65"/>
      <c r="AT579" s="65"/>
    </row>
    <row r="580" spans="45:46" x14ac:dyDescent="0.25">
      <c r="AS580" s="65"/>
      <c r="AT580" s="65"/>
    </row>
    <row r="581" spans="45:46" x14ac:dyDescent="0.25">
      <c r="AS581" s="65"/>
      <c r="AT581" s="65"/>
    </row>
    <row r="582" spans="45:46" x14ac:dyDescent="0.25">
      <c r="AS582" s="65"/>
      <c r="AT582" s="65"/>
    </row>
    <row r="583" spans="45:46" x14ac:dyDescent="0.25">
      <c r="AS583" s="65"/>
      <c r="AT583" s="65"/>
    </row>
    <row r="584" spans="45:46" x14ac:dyDescent="0.25">
      <c r="AS584" s="65"/>
      <c r="AT584" s="65"/>
    </row>
    <row r="585" spans="45:46" x14ac:dyDescent="0.25">
      <c r="AS585" s="65"/>
      <c r="AT585" s="65"/>
    </row>
    <row r="586" spans="45:46" x14ac:dyDescent="0.25">
      <c r="AS586" s="65"/>
      <c r="AT586" s="65"/>
    </row>
    <row r="587" spans="45:46" x14ac:dyDescent="0.25">
      <c r="AS587" s="65"/>
      <c r="AT587" s="65"/>
    </row>
    <row r="588" spans="45:46" x14ac:dyDescent="0.25">
      <c r="AS588" s="65"/>
      <c r="AT588" s="65"/>
    </row>
    <row r="589" spans="45:46" x14ac:dyDescent="0.25">
      <c r="AS589" s="65"/>
      <c r="AT589" s="65"/>
    </row>
    <row r="590" spans="45:46" x14ac:dyDescent="0.25">
      <c r="AS590" s="65"/>
      <c r="AT590" s="65"/>
    </row>
    <row r="591" spans="45:46" x14ac:dyDescent="0.25">
      <c r="AS591" s="65"/>
      <c r="AT591" s="65"/>
    </row>
    <row r="592" spans="45:46" x14ac:dyDescent="0.25">
      <c r="AS592" s="65"/>
      <c r="AT592" s="65"/>
    </row>
    <row r="593" spans="45:46" x14ac:dyDescent="0.25">
      <c r="AS593" s="65"/>
      <c r="AT593" s="65"/>
    </row>
    <row r="594" spans="45:46" x14ac:dyDescent="0.25">
      <c r="AS594" s="65"/>
      <c r="AT594" s="65"/>
    </row>
    <row r="595" spans="45:46" x14ac:dyDescent="0.25">
      <c r="AS595" s="65"/>
      <c r="AT595" s="65"/>
    </row>
    <row r="596" spans="45:46" x14ac:dyDescent="0.25">
      <c r="AS596" s="65"/>
      <c r="AT596" s="65"/>
    </row>
    <row r="597" spans="45:46" x14ac:dyDescent="0.25">
      <c r="AS597" s="65"/>
      <c r="AT597" s="65"/>
    </row>
    <row r="598" spans="45:46" x14ac:dyDescent="0.25">
      <c r="AS598" s="65"/>
      <c r="AT598" s="65"/>
    </row>
    <row r="599" spans="45:46" x14ac:dyDescent="0.25">
      <c r="AS599" s="65"/>
      <c r="AT599" s="65"/>
    </row>
    <row r="600" spans="45:46" x14ac:dyDescent="0.25">
      <c r="AS600" s="65"/>
      <c r="AT600" s="65"/>
    </row>
    <row r="601" spans="45:46" x14ac:dyDescent="0.25">
      <c r="AS601" s="65"/>
      <c r="AT601" s="65"/>
    </row>
    <row r="602" spans="45:46" x14ac:dyDescent="0.25">
      <c r="AS602" s="65"/>
      <c r="AT602" s="65"/>
    </row>
    <row r="603" spans="45:46" x14ac:dyDescent="0.25">
      <c r="AS603" s="65"/>
      <c r="AT603" s="65"/>
    </row>
    <row r="604" spans="45:46" x14ac:dyDescent="0.25">
      <c r="AS604" s="65"/>
      <c r="AT604" s="65"/>
    </row>
    <row r="605" spans="45:46" x14ac:dyDescent="0.25">
      <c r="AS605" s="65"/>
      <c r="AT605" s="65"/>
    </row>
    <row r="606" spans="45:46" x14ac:dyDescent="0.25">
      <c r="AS606" s="65"/>
      <c r="AT606" s="65"/>
    </row>
    <row r="607" spans="45:46" x14ac:dyDescent="0.25">
      <c r="AS607" s="65"/>
      <c r="AT607" s="65"/>
    </row>
    <row r="608" spans="45:46" x14ac:dyDescent="0.25">
      <c r="AS608" s="65"/>
      <c r="AT608" s="65"/>
    </row>
    <row r="609" spans="45:46" x14ac:dyDescent="0.25">
      <c r="AS609" s="65"/>
      <c r="AT609" s="65"/>
    </row>
    <row r="610" spans="45:46" x14ac:dyDescent="0.25">
      <c r="AS610" s="65"/>
      <c r="AT610" s="65"/>
    </row>
    <row r="611" spans="45:46" x14ac:dyDescent="0.25">
      <c r="AS611" s="65"/>
      <c r="AT611" s="65"/>
    </row>
    <row r="612" spans="45:46" x14ac:dyDescent="0.25">
      <c r="AS612" s="65"/>
      <c r="AT612" s="65"/>
    </row>
    <row r="613" spans="45:46" x14ac:dyDescent="0.25">
      <c r="AS613" s="65"/>
      <c r="AT613" s="65"/>
    </row>
    <row r="614" spans="45:46" x14ac:dyDescent="0.25">
      <c r="AS614" s="65"/>
      <c r="AT614" s="65"/>
    </row>
    <row r="615" spans="45:46" x14ac:dyDescent="0.25">
      <c r="AS615" s="65"/>
      <c r="AT615" s="65"/>
    </row>
    <row r="616" spans="45:46" x14ac:dyDescent="0.25">
      <c r="AS616" s="65"/>
      <c r="AT616" s="65"/>
    </row>
    <row r="617" spans="45:46" x14ac:dyDescent="0.25">
      <c r="AS617" s="65"/>
      <c r="AT617" s="65"/>
    </row>
    <row r="618" spans="45:46" x14ac:dyDescent="0.25">
      <c r="AS618" s="65"/>
      <c r="AT618" s="65"/>
    </row>
    <row r="619" spans="45:46" x14ac:dyDescent="0.25">
      <c r="AS619" s="65"/>
      <c r="AT619" s="65"/>
    </row>
    <row r="620" spans="45:46" x14ac:dyDescent="0.25">
      <c r="AS620" s="65"/>
      <c r="AT620" s="65"/>
    </row>
    <row r="621" spans="45:46" x14ac:dyDescent="0.25">
      <c r="AS621" s="65"/>
      <c r="AT621" s="65"/>
    </row>
    <row r="622" spans="45:46" x14ac:dyDescent="0.25">
      <c r="AS622" s="65"/>
      <c r="AT622" s="65"/>
    </row>
    <row r="623" spans="45:46" x14ac:dyDescent="0.25">
      <c r="AS623" s="65"/>
      <c r="AT623" s="65"/>
    </row>
    <row r="624" spans="45:46" x14ac:dyDescent="0.25">
      <c r="AS624" s="65"/>
      <c r="AT624" s="65"/>
    </row>
    <row r="625" spans="45:46" x14ac:dyDescent="0.25">
      <c r="AS625" s="65"/>
      <c r="AT625" s="65"/>
    </row>
    <row r="626" spans="45:46" x14ac:dyDescent="0.25">
      <c r="AS626" s="65"/>
      <c r="AT626" s="65"/>
    </row>
    <row r="627" spans="45:46" x14ac:dyDescent="0.25">
      <c r="AS627" s="65"/>
      <c r="AT627" s="65"/>
    </row>
    <row r="628" spans="45:46" x14ac:dyDescent="0.25">
      <c r="AS628" s="65"/>
      <c r="AT628" s="65"/>
    </row>
    <row r="629" spans="45:46" x14ac:dyDescent="0.25">
      <c r="AS629" s="65"/>
      <c r="AT629" s="65"/>
    </row>
    <row r="630" spans="45:46" x14ac:dyDescent="0.25">
      <c r="AS630" s="65"/>
      <c r="AT630" s="65"/>
    </row>
    <row r="631" spans="45:46" x14ac:dyDescent="0.25">
      <c r="AS631" s="65"/>
      <c r="AT631" s="65"/>
    </row>
    <row r="632" spans="45:46" x14ac:dyDescent="0.25">
      <c r="AS632" s="65"/>
      <c r="AT632" s="65"/>
    </row>
    <row r="633" spans="45:46" x14ac:dyDescent="0.25">
      <c r="AS633" s="65"/>
      <c r="AT633" s="65"/>
    </row>
    <row r="634" spans="45:46" x14ac:dyDescent="0.25">
      <c r="AS634" s="65"/>
      <c r="AT634" s="65"/>
    </row>
    <row r="635" spans="45:46" x14ac:dyDescent="0.25">
      <c r="AS635" s="65"/>
      <c r="AT635" s="65"/>
    </row>
    <row r="636" spans="45:46" x14ac:dyDescent="0.25">
      <c r="AS636" s="65"/>
      <c r="AT636" s="65"/>
    </row>
    <row r="637" spans="45:46" x14ac:dyDescent="0.25">
      <c r="AS637" s="65"/>
      <c r="AT637" s="65"/>
    </row>
    <row r="638" spans="45:46" x14ac:dyDescent="0.25">
      <c r="AS638" s="65"/>
      <c r="AT638" s="65"/>
    </row>
    <row r="639" spans="45:46" x14ac:dyDescent="0.25">
      <c r="AS639" s="65"/>
      <c r="AT639" s="65"/>
    </row>
    <row r="640" spans="45:46" x14ac:dyDescent="0.25">
      <c r="AS640" s="65"/>
      <c r="AT640" s="65"/>
    </row>
    <row r="641" spans="45:46" x14ac:dyDescent="0.25">
      <c r="AS641" s="65"/>
      <c r="AT641" s="65"/>
    </row>
    <row r="642" spans="45:46" x14ac:dyDescent="0.25">
      <c r="AS642" s="65"/>
      <c r="AT642" s="65"/>
    </row>
    <row r="643" spans="45:46" x14ac:dyDescent="0.25">
      <c r="AS643" s="65"/>
      <c r="AT643" s="65"/>
    </row>
    <row r="644" spans="45:46" x14ac:dyDescent="0.25">
      <c r="AS644" s="65"/>
      <c r="AT644" s="65"/>
    </row>
    <row r="645" spans="45:46" x14ac:dyDescent="0.25">
      <c r="AS645" s="65"/>
      <c r="AT645" s="65"/>
    </row>
    <row r="646" spans="45:46" x14ac:dyDescent="0.25">
      <c r="AS646" s="65"/>
      <c r="AT646" s="65"/>
    </row>
    <row r="647" spans="45:46" x14ac:dyDescent="0.25">
      <c r="AS647" s="65"/>
      <c r="AT647" s="65"/>
    </row>
    <row r="648" spans="45:46" x14ac:dyDescent="0.25">
      <c r="AS648" s="65"/>
      <c r="AT648" s="65"/>
    </row>
    <row r="649" spans="45:46" x14ac:dyDescent="0.25">
      <c r="AS649" s="65"/>
      <c r="AT649" s="65"/>
    </row>
    <row r="650" spans="45:46" x14ac:dyDescent="0.25">
      <c r="AS650" s="65"/>
      <c r="AT650" s="65"/>
    </row>
    <row r="651" spans="45:46" x14ac:dyDescent="0.25">
      <c r="AS651" s="65"/>
      <c r="AT651" s="65"/>
    </row>
    <row r="652" spans="45:46" x14ac:dyDescent="0.25">
      <c r="AS652" s="65"/>
      <c r="AT652" s="65"/>
    </row>
    <row r="653" spans="45:46" x14ac:dyDescent="0.25">
      <c r="AS653" s="65"/>
      <c r="AT653" s="65"/>
    </row>
    <row r="654" spans="45:46" x14ac:dyDescent="0.25">
      <c r="AS654" s="65"/>
      <c r="AT654" s="65"/>
    </row>
    <row r="655" spans="45:46" x14ac:dyDescent="0.25">
      <c r="AS655" s="65"/>
      <c r="AT655" s="65"/>
    </row>
    <row r="656" spans="45:46" x14ac:dyDescent="0.25">
      <c r="AS656" s="65"/>
      <c r="AT656" s="65"/>
    </row>
    <row r="657" spans="45:46" x14ac:dyDescent="0.25">
      <c r="AS657" s="65"/>
      <c r="AT657" s="65"/>
    </row>
    <row r="658" spans="45:46" x14ac:dyDescent="0.25">
      <c r="AS658" s="65"/>
      <c r="AT658" s="65"/>
    </row>
    <row r="659" spans="45:46" x14ac:dyDescent="0.25">
      <c r="AS659" s="65"/>
      <c r="AT659" s="65"/>
    </row>
    <row r="660" spans="45:46" x14ac:dyDescent="0.25">
      <c r="AS660" s="65"/>
      <c r="AT660" s="65"/>
    </row>
    <row r="661" spans="45:46" x14ac:dyDescent="0.25">
      <c r="AS661" s="65"/>
      <c r="AT661" s="65"/>
    </row>
    <row r="662" spans="45:46" x14ac:dyDescent="0.25">
      <c r="AS662" s="65"/>
      <c r="AT662" s="65"/>
    </row>
    <row r="663" spans="45:46" x14ac:dyDescent="0.25">
      <c r="AS663" s="65"/>
      <c r="AT663" s="65"/>
    </row>
    <row r="664" spans="45:46" x14ac:dyDescent="0.25">
      <c r="AS664" s="65"/>
      <c r="AT664" s="65"/>
    </row>
    <row r="665" spans="45:46" x14ac:dyDescent="0.25">
      <c r="AS665" s="65"/>
      <c r="AT665" s="65"/>
    </row>
    <row r="666" spans="45:46" x14ac:dyDescent="0.25">
      <c r="AS666" s="65"/>
      <c r="AT666" s="65"/>
    </row>
    <row r="667" spans="45:46" x14ac:dyDescent="0.25">
      <c r="AS667" s="65"/>
      <c r="AT667" s="65"/>
    </row>
    <row r="668" spans="45:46" x14ac:dyDescent="0.25">
      <c r="AS668" s="65"/>
      <c r="AT668" s="65"/>
    </row>
    <row r="669" spans="45:46" x14ac:dyDescent="0.25">
      <c r="AS669" s="65"/>
      <c r="AT669" s="65"/>
    </row>
    <row r="670" spans="45:46" x14ac:dyDescent="0.25">
      <c r="AS670" s="65"/>
      <c r="AT670" s="65"/>
    </row>
    <row r="671" spans="45:46" x14ac:dyDescent="0.25">
      <c r="AS671" s="65"/>
      <c r="AT671" s="65"/>
    </row>
    <row r="672" spans="45:46" x14ac:dyDescent="0.25">
      <c r="AS672" s="65"/>
      <c r="AT672" s="65"/>
    </row>
    <row r="673" spans="45:46" x14ac:dyDescent="0.25">
      <c r="AS673" s="65"/>
      <c r="AT673" s="65"/>
    </row>
    <row r="674" spans="45:46" x14ac:dyDescent="0.25">
      <c r="AS674" s="65"/>
      <c r="AT674" s="65"/>
    </row>
    <row r="675" spans="45:46" x14ac:dyDescent="0.25">
      <c r="AS675" s="65"/>
      <c r="AT675" s="65"/>
    </row>
    <row r="676" spans="45:46" x14ac:dyDescent="0.25">
      <c r="AS676" s="65"/>
      <c r="AT676" s="65"/>
    </row>
    <row r="677" spans="45:46" x14ac:dyDescent="0.25">
      <c r="AS677" s="65"/>
      <c r="AT677" s="65"/>
    </row>
    <row r="678" spans="45:46" x14ac:dyDescent="0.25">
      <c r="AS678" s="65"/>
      <c r="AT678" s="65"/>
    </row>
    <row r="679" spans="45:46" x14ac:dyDescent="0.25">
      <c r="AS679" s="65"/>
      <c r="AT679" s="65"/>
    </row>
    <row r="680" spans="45:46" x14ac:dyDescent="0.25">
      <c r="AS680" s="65"/>
      <c r="AT680" s="65"/>
    </row>
    <row r="681" spans="45:46" x14ac:dyDescent="0.25">
      <c r="AS681" s="65"/>
      <c r="AT681" s="65"/>
    </row>
    <row r="682" spans="45:46" x14ac:dyDescent="0.25">
      <c r="AS682" s="65"/>
      <c r="AT682" s="65"/>
    </row>
    <row r="683" spans="45:46" x14ac:dyDescent="0.25">
      <c r="AS683" s="65"/>
      <c r="AT683" s="65"/>
    </row>
    <row r="684" spans="45:46" x14ac:dyDescent="0.25">
      <c r="AS684" s="65"/>
      <c r="AT684" s="65"/>
    </row>
    <row r="685" spans="45:46" x14ac:dyDescent="0.25">
      <c r="AS685" s="65"/>
      <c r="AT685" s="65"/>
    </row>
    <row r="686" spans="45:46" x14ac:dyDescent="0.25">
      <c r="AS686" s="65"/>
      <c r="AT686" s="65"/>
    </row>
    <row r="687" spans="45:46" x14ac:dyDescent="0.25">
      <c r="AS687" s="65"/>
      <c r="AT687" s="65"/>
    </row>
    <row r="688" spans="45:46" x14ac:dyDescent="0.25">
      <c r="AS688" s="65"/>
      <c r="AT688" s="65"/>
    </row>
    <row r="689" spans="45:46" x14ac:dyDescent="0.25">
      <c r="AS689" s="65"/>
      <c r="AT689" s="65"/>
    </row>
    <row r="690" spans="45:46" x14ac:dyDescent="0.25">
      <c r="AS690" s="65"/>
      <c r="AT690" s="65"/>
    </row>
    <row r="691" spans="45:46" x14ac:dyDescent="0.25">
      <c r="AS691" s="65"/>
      <c r="AT691" s="65"/>
    </row>
    <row r="692" spans="45:46" x14ac:dyDescent="0.25">
      <c r="AS692" s="65"/>
      <c r="AT692" s="65"/>
    </row>
    <row r="693" spans="45:46" x14ac:dyDescent="0.25">
      <c r="AS693" s="65"/>
      <c r="AT693" s="65"/>
    </row>
    <row r="694" spans="45:46" x14ac:dyDescent="0.25">
      <c r="AS694" s="65"/>
      <c r="AT694" s="65"/>
    </row>
    <row r="695" spans="45:46" x14ac:dyDescent="0.25">
      <c r="AS695" s="65"/>
      <c r="AT695" s="65"/>
    </row>
    <row r="696" spans="45:46" x14ac:dyDescent="0.25">
      <c r="AS696" s="65"/>
      <c r="AT696" s="65"/>
    </row>
    <row r="697" spans="45:46" x14ac:dyDescent="0.25">
      <c r="AS697" s="65"/>
      <c r="AT697" s="65"/>
    </row>
    <row r="698" spans="45:46" x14ac:dyDescent="0.25">
      <c r="AS698" s="65"/>
      <c r="AT698" s="65"/>
    </row>
    <row r="699" spans="45:46" x14ac:dyDescent="0.25">
      <c r="AS699" s="65"/>
      <c r="AT699" s="65"/>
    </row>
    <row r="700" spans="45:46" x14ac:dyDescent="0.25">
      <c r="AS700" s="65"/>
      <c r="AT700" s="65"/>
    </row>
    <row r="701" spans="45:46" x14ac:dyDescent="0.25">
      <c r="AS701" s="65"/>
      <c r="AT701" s="65"/>
    </row>
    <row r="702" spans="45:46" x14ac:dyDescent="0.25">
      <c r="AS702" s="65"/>
      <c r="AT702" s="65"/>
    </row>
    <row r="703" spans="45:46" x14ac:dyDescent="0.25">
      <c r="AS703" s="65"/>
      <c r="AT703" s="65"/>
    </row>
    <row r="704" spans="45:46" x14ac:dyDescent="0.25">
      <c r="AS704" s="65"/>
      <c r="AT704" s="65"/>
    </row>
    <row r="705" spans="45:46" x14ac:dyDescent="0.25">
      <c r="AS705" s="65"/>
      <c r="AT705" s="65"/>
    </row>
    <row r="706" spans="45:46" x14ac:dyDescent="0.25">
      <c r="AS706" s="65"/>
      <c r="AT706" s="65"/>
    </row>
    <row r="707" spans="45:46" x14ac:dyDescent="0.25">
      <c r="AS707" s="65"/>
      <c r="AT707" s="65"/>
    </row>
    <row r="708" spans="45:46" x14ac:dyDescent="0.25">
      <c r="AS708" s="65"/>
      <c r="AT708" s="65"/>
    </row>
    <row r="709" spans="45:46" x14ac:dyDescent="0.25">
      <c r="AS709" s="65"/>
      <c r="AT709" s="65"/>
    </row>
    <row r="710" spans="45:46" x14ac:dyDescent="0.25">
      <c r="AS710" s="65"/>
      <c r="AT710" s="65"/>
    </row>
    <row r="711" spans="45:46" x14ac:dyDescent="0.25">
      <c r="AS711" s="65"/>
      <c r="AT711" s="65"/>
    </row>
    <row r="712" spans="45:46" x14ac:dyDescent="0.25">
      <c r="AS712" s="65"/>
      <c r="AT712" s="65"/>
    </row>
    <row r="713" spans="45:46" x14ac:dyDescent="0.25">
      <c r="AS713" s="65"/>
      <c r="AT713" s="65"/>
    </row>
    <row r="714" spans="45:46" x14ac:dyDescent="0.25">
      <c r="AS714" s="65"/>
      <c r="AT714" s="65"/>
    </row>
    <row r="715" spans="45:46" x14ac:dyDescent="0.25">
      <c r="AS715" s="65"/>
      <c r="AT715" s="65"/>
    </row>
    <row r="716" spans="45:46" x14ac:dyDescent="0.25">
      <c r="AS716" s="65"/>
      <c r="AT716" s="65"/>
    </row>
    <row r="717" spans="45:46" x14ac:dyDescent="0.25">
      <c r="AS717" s="65"/>
      <c r="AT717" s="65"/>
    </row>
    <row r="718" spans="45:46" x14ac:dyDescent="0.25">
      <c r="AS718" s="65"/>
      <c r="AT718" s="65"/>
    </row>
    <row r="719" spans="45:46" x14ac:dyDescent="0.25">
      <c r="AS719" s="65"/>
      <c r="AT719" s="65"/>
    </row>
    <row r="720" spans="45:46" x14ac:dyDescent="0.25">
      <c r="AS720" s="65"/>
      <c r="AT720" s="65"/>
    </row>
    <row r="721" spans="45:46" x14ac:dyDescent="0.25">
      <c r="AS721" s="65"/>
      <c r="AT721" s="65"/>
    </row>
    <row r="722" spans="45:46" x14ac:dyDescent="0.25">
      <c r="AS722" s="65"/>
      <c r="AT722" s="65"/>
    </row>
    <row r="723" spans="45:46" x14ac:dyDescent="0.25">
      <c r="AS723" s="65"/>
      <c r="AT723" s="65"/>
    </row>
    <row r="724" spans="45:46" x14ac:dyDescent="0.25">
      <c r="AS724" s="65"/>
      <c r="AT724" s="65"/>
    </row>
    <row r="725" spans="45:46" x14ac:dyDescent="0.25">
      <c r="AS725" s="65"/>
      <c r="AT725" s="65"/>
    </row>
    <row r="726" spans="45:46" x14ac:dyDescent="0.25">
      <c r="AS726" s="65"/>
      <c r="AT726" s="65"/>
    </row>
    <row r="727" spans="45:46" x14ac:dyDescent="0.25">
      <c r="AS727" s="65"/>
      <c r="AT727" s="65"/>
    </row>
    <row r="728" spans="45:46" x14ac:dyDescent="0.25">
      <c r="AS728" s="65"/>
      <c r="AT728" s="65"/>
    </row>
    <row r="729" spans="45:46" x14ac:dyDescent="0.25">
      <c r="AS729" s="65"/>
      <c r="AT729" s="65"/>
    </row>
    <row r="730" spans="45:46" x14ac:dyDescent="0.25">
      <c r="AS730" s="65"/>
      <c r="AT730" s="65"/>
    </row>
    <row r="731" spans="45:46" x14ac:dyDescent="0.25">
      <c r="AS731" s="65"/>
      <c r="AT731" s="65"/>
    </row>
    <row r="732" spans="45:46" x14ac:dyDescent="0.25">
      <c r="AS732" s="65"/>
      <c r="AT732" s="65"/>
    </row>
    <row r="733" spans="45:46" x14ac:dyDescent="0.25">
      <c r="AS733" s="65"/>
      <c r="AT733" s="65"/>
    </row>
    <row r="734" spans="45:46" x14ac:dyDescent="0.25">
      <c r="AS734" s="65"/>
      <c r="AT734" s="65"/>
    </row>
    <row r="735" spans="45:46" x14ac:dyDescent="0.25">
      <c r="AS735" s="65"/>
      <c r="AT735" s="65"/>
    </row>
    <row r="736" spans="45:46" x14ac:dyDescent="0.25">
      <c r="AS736" s="65"/>
      <c r="AT736" s="65"/>
    </row>
    <row r="737" spans="45:46" x14ac:dyDescent="0.25">
      <c r="AS737" s="65"/>
      <c r="AT737" s="65"/>
    </row>
    <row r="738" spans="45:46" x14ac:dyDescent="0.25">
      <c r="AS738" s="65"/>
      <c r="AT738" s="65"/>
    </row>
    <row r="739" spans="45:46" x14ac:dyDescent="0.25">
      <c r="AS739" s="65"/>
      <c r="AT739" s="65"/>
    </row>
    <row r="740" spans="45:46" x14ac:dyDescent="0.25">
      <c r="AS740" s="65"/>
      <c r="AT740" s="65"/>
    </row>
    <row r="741" spans="45:46" x14ac:dyDescent="0.25">
      <c r="AS741" s="65"/>
      <c r="AT741" s="65"/>
    </row>
    <row r="742" spans="45:46" x14ac:dyDescent="0.25">
      <c r="AS742" s="65"/>
      <c r="AT742" s="65"/>
    </row>
    <row r="743" spans="45:46" x14ac:dyDescent="0.25">
      <c r="AS743" s="65"/>
      <c r="AT743" s="65"/>
    </row>
    <row r="744" spans="45:46" x14ac:dyDescent="0.25">
      <c r="AS744" s="65"/>
      <c r="AT744" s="65"/>
    </row>
    <row r="745" spans="45:46" x14ac:dyDescent="0.25">
      <c r="AS745" s="65"/>
      <c r="AT745" s="65"/>
    </row>
    <row r="746" spans="45:46" x14ac:dyDescent="0.25">
      <c r="AS746" s="65"/>
      <c r="AT746" s="65"/>
    </row>
    <row r="747" spans="45:46" x14ac:dyDescent="0.25">
      <c r="AS747" s="65"/>
      <c r="AT747" s="65"/>
    </row>
    <row r="748" spans="45:46" x14ac:dyDescent="0.25">
      <c r="AS748" s="65"/>
      <c r="AT748" s="65"/>
    </row>
    <row r="749" spans="45:46" x14ac:dyDescent="0.25">
      <c r="AS749" s="65"/>
      <c r="AT749" s="65"/>
    </row>
    <row r="750" spans="45:46" x14ac:dyDescent="0.25">
      <c r="AS750" s="65"/>
      <c r="AT750" s="65"/>
    </row>
    <row r="751" spans="45:46" x14ac:dyDescent="0.25">
      <c r="AS751" s="65"/>
      <c r="AT751" s="65"/>
    </row>
    <row r="752" spans="45:46" x14ac:dyDescent="0.25">
      <c r="AS752" s="65"/>
      <c r="AT752" s="65"/>
    </row>
    <row r="753" spans="45:46" x14ac:dyDescent="0.25">
      <c r="AS753" s="65"/>
      <c r="AT753" s="65"/>
    </row>
    <row r="754" spans="45:46" x14ac:dyDescent="0.25">
      <c r="AS754" s="65"/>
      <c r="AT754" s="65"/>
    </row>
    <row r="755" spans="45:46" x14ac:dyDescent="0.25">
      <c r="AS755" s="65"/>
      <c r="AT755" s="65"/>
    </row>
    <row r="756" spans="45:46" x14ac:dyDescent="0.25">
      <c r="AS756" s="65"/>
      <c r="AT756" s="65"/>
    </row>
    <row r="757" spans="45:46" x14ac:dyDescent="0.25">
      <c r="AS757" s="65"/>
      <c r="AT757" s="65"/>
    </row>
    <row r="758" spans="45:46" x14ac:dyDescent="0.25">
      <c r="AS758" s="65"/>
      <c r="AT758" s="65"/>
    </row>
    <row r="759" spans="45:46" x14ac:dyDescent="0.25">
      <c r="AS759" s="65"/>
      <c r="AT759" s="65"/>
    </row>
    <row r="760" spans="45:46" x14ac:dyDescent="0.25">
      <c r="AS760" s="65"/>
      <c r="AT760" s="65"/>
    </row>
    <row r="761" spans="45:46" x14ac:dyDescent="0.25">
      <c r="AS761" s="65"/>
      <c r="AT761" s="65"/>
    </row>
    <row r="762" spans="45:46" x14ac:dyDescent="0.25">
      <c r="AS762" s="65"/>
      <c r="AT762" s="65"/>
    </row>
    <row r="763" spans="45:46" x14ac:dyDescent="0.25">
      <c r="AS763" s="65"/>
      <c r="AT763" s="65"/>
    </row>
    <row r="764" spans="45:46" x14ac:dyDescent="0.25">
      <c r="AS764" s="65"/>
      <c r="AT764" s="65"/>
    </row>
    <row r="765" spans="45:46" x14ac:dyDescent="0.25">
      <c r="AS765" s="65"/>
      <c r="AT765" s="65"/>
    </row>
    <row r="766" spans="45:46" x14ac:dyDescent="0.25">
      <c r="AS766" s="65"/>
      <c r="AT766" s="65"/>
    </row>
    <row r="767" spans="45:46" x14ac:dyDescent="0.25">
      <c r="AS767" s="65"/>
      <c r="AT767" s="65"/>
    </row>
    <row r="768" spans="45:46" x14ac:dyDescent="0.25">
      <c r="AS768" s="65"/>
      <c r="AT768" s="65"/>
    </row>
    <row r="769" spans="45:46" x14ac:dyDescent="0.25">
      <c r="AS769" s="65"/>
      <c r="AT769" s="65"/>
    </row>
    <row r="770" spans="45:46" x14ac:dyDescent="0.25">
      <c r="AS770" s="65"/>
      <c r="AT770" s="65"/>
    </row>
    <row r="771" spans="45:46" x14ac:dyDescent="0.25">
      <c r="AS771" s="65"/>
      <c r="AT771" s="65"/>
    </row>
    <row r="772" spans="45:46" x14ac:dyDescent="0.25">
      <c r="AS772" s="65"/>
      <c r="AT772" s="65"/>
    </row>
    <row r="773" spans="45:46" x14ac:dyDescent="0.25">
      <c r="AS773" s="65"/>
      <c r="AT773" s="65"/>
    </row>
    <row r="774" spans="45:46" x14ac:dyDescent="0.25">
      <c r="AS774" s="65"/>
      <c r="AT774" s="65"/>
    </row>
    <row r="775" spans="45:46" x14ac:dyDescent="0.25">
      <c r="AS775" s="65"/>
      <c r="AT775" s="65"/>
    </row>
    <row r="776" spans="45:46" x14ac:dyDescent="0.25">
      <c r="AS776" s="65"/>
      <c r="AT776" s="65"/>
    </row>
    <row r="777" spans="45:46" x14ac:dyDescent="0.25">
      <c r="AS777" s="65"/>
      <c r="AT777" s="65"/>
    </row>
    <row r="778" spans="45:46" x14ac:dyDescent="0.25">
      <c r="AS778" s="65"/>
      <c r="AT778" s="65"/>
    </row>
    <row r="779" spans="45:46" x14ac:dyDescent="0.25">
      <c r="AS779" s="65"/>
      <c r="AT779" s="65"/>
    </row>
    <row r="780" spans="45:46" x14ac:dyDescent="0.25">
      <c r="AS780" s="65"/>
      <c r="AT780" s="65"/>
    </row>
    <row r="781" spans="45:46" x14ac:dyDescent="0.25">
      <c r="AS781" s="65"/>
      <c r="AT781" s="65"/>
    </row>
    <row r="782" spans="45:46" x14ac:dyDescent="0.25">
      <c r="AS782" s="65"/>
      <c r="AT782" s="65"/>
    </row>
    <row r="783" spans="45:46" x14ac:dyDescent="0.25">
      <c r="AS783" s="65"/>
      <c r="AT783" s="65"/>
    </row>
    <row r="784" spans="45:46" x14ac:dyDescent="0.25">
      <c r="AS784" s="65"/>
      <c r="AT784" s="65"/>
    </row>
    <row r="785" spans="45:46" x14ac:dyDescent="0.25">
      <c r="AS785" s="65"/>
      <c r="AT785" s="65"/>
    </row>
    <row r="786" spans="45:46" x14ac:dyDescent="0.25">
      <c r="AS786" s="65"/>
      <c r="AT786" s="65"/>
    </row>
    <row r="787" spans="45:46" x14ac:dyDescent="0.25">
      <c r="AS787" s="65"/>
      <c r="AT787" s="65"/>
    </row>
    <row r="788" spans="45:46" x14ac:dyDescent="0.25">
      <c r="AS788" s="65"/>
      <c r="AT788" s="65"/>
    </row>
    <row r="789" spans="45:46" x14ac:dyDescent="0.25">
      <c r="AS789" s="65"/>
      <c r="AT789" s="65"/>
    </row>
    <row r="790" spans="45:46" x14ac:dyDescent="0.25">
      <c r="AS790" s="65"/>
      <c r="AT790" s="65"/>
    </row>
    <row r="791" spans="45:46" x14ac:dyDescent="0.25">
      <c r="AS791" s="65"/>
      <c r="AT791" s="65"/>
    </row>
    <row r="792" spans="45:46" x14ac:dyDescent="0.25">
      <c r="AS792" s="65"/>
      <c r="AT792" s="65"/>
    </row>
    <row r="793" spans="45:46" x14ac:dyDescent="0.25">
      <c r="AS793" s="65"/>
      <c r="AT793" s="65"/>
    </row>
    <row r="794" spans="45:46" x14ac:dyDescent="0.25">
      <c r="AS794" s="65"/>
      <c r="AT794" s="65"/>
    </row>
    <row r="795" spans="45:46" x14ac:dyDescent="0.25">
      <c r="AS795" s="65"/>
      <c r="AT795" s="65"/>
    </row>
    <row r="796" spans="45:46" x14ac:dyDescent="0.25">
      <c r="AS796" s="65"/>
      <c r="AT796" s="65"/>
    </row>
    <row r="797" spans="45:46" x14ac:dyDescent="0.25">
      <c r="AS797" s="65"/>
      <c r="AT797" s="65"/>
    </row>
    <row r="798" spans="45:46" x14ac:dyDescent="0.25">
      <c r="AS798" s="65"/>
      <c r="AT798" s="65"/>
    </row>
    <row r="799" spans="45:46" x14ac:dyDescent="0.25">
      <c r="AS799" s="65"/>
      <c r="AT799" s="65"/>
    </row>
    <row r="800" spans="45:46" x14ac:dyDescent="0.25">
      <c r="AS800" s="65"/>
      <c r="AT800" s="65"/>
    </row>
    <row r="801" spans="45:46" x14ac:dyDescent="0.25">
      <c r="AS801" s="65"/>
      <c r="AT801" s="65"/>
    </row>
    <row r="802" spans="45:46" x14ac:dyDescent="0.25">
      <c r="AS802" s="65"/>
      <c r="AT802" s="65"/>
    </row>
    <row r="803" spans="45:46" x14ac:dyDescent="0.25">
      <c r="AS803" s="65"/>
      <c r="AT803" s="65"/>
    </row>
    <row r="804" spans="45:46" x14ac:dyDescent="0.25">
      <c r="AS804" s="65"/>
      <c r="AT804" s="65"/>
    </row>
    <row r="805" spans="45:46" x14ac:dyDescent="0.25">
      <c r="AS805" s="65"/>
      <c r="AT805" s="65"/>
    </row>
    <row r="806" spans="45:46" x14ac:dyDescent="0.25">
      <c r="AS806" s="65"/>
      <c r="AT806" s="65"/>
    </row>
    <row r="807" spans="45:46" x14ac:dyDescent="0.25">
      <c r="AS807" s="65"/>
      <c r="AT807" s="65"/>
    </row>
    <row r="808" spans="45:46" x14ac:dyDescent="0.25">
      <c r="AS808" s="65"/>
      <c r="AT808" s="65"/>
    </row>
    <row r="809" spans="45:46" x14ac:dyDescent="0.25">
      <c r="AS809" s="65"/>
      <c r="AT809" s="65"/>
    </row>
    <row r="810" spans="45:46" x14ac:dyDescent="0.25">
      <c r="AS810" s="65"/>
      <c r="AT810" s="65"/>
    </row>
    <row r="811" spans="45:46" x14ac:dyDescent="0.25">
      <c r="AS811" s="65"/>
      <c r="AT811" s="65"/>
    </row>
    <row r="812" spans="45:46" x14ac:dyDescent="0.25">
      <c r="AS812" s="65"/>
      <c r="AT812" s="65"/>
    </row>
    <row r="813" spans="45:46" x14ac:dyDescent="0.25">
      <c r="AS813" s="65"/>
      <c r="AT813" s="65"/>
    </row>
    <row r="814" spans="45:46" x14ac:dyDescent="0.25">
      <c r="AS814" s="65"/>
      <c r="AT814" s="65"/>
    </row>
    <row r="815" spans="45:46" x14ac:dyDescent="0.25">
      <c r="AS815" s="65"/>
      <c r="AT815" s="65"/>
    </row>
    <row r="816" spans="45:46" x14ac:dyDescent="0.25">
      <c r="AS816" s="65"/>
      <c r="AT816" s="65"/>
    </row>
    <row r="817" spans="45:46" x14ac:dyDescent="0.25">
      <c r="AS817" s="65"/>
      <c r="AT817" s="65"/>
    </row>
    <row r="818" spans="45:46" x14ac:dyDescent="0.25">
      <c r="AS818" s="65"/>
      <c r="AT818" s="65"/>
    </row>
    <row r="819" spans="45:46" x14ac:dyDescent="0.25">
      <c r="AS819" s="65"/>
      <c r="AT819" s="65"/>
    </row>
    <row r="820" spans="45:46" x14ac:dyDescent="0.25">
      <c r="AS820" s="65"/>
      <c r="AT820" s="65"/>
    </row>
    <row r="821" spans="45:46" x14ac:dyDescent="0.25">
      <c r="AS821" s="65"/>
      <c r="AT821" s="65"/>
    </row>
    <row r="822" spans="45:46" x14ac:dyDescent="0.25">
      <c r="AS822" s="65"/>
      <c r="AT822" s="65"/>
    </row>
    <row r="823" spans="45:46" x14ac:dyDescent="0.25">
      <c r="AS823" s="65"/>
      <c r="AT823" s="65"/>
    </row>
    <row r="824" spans="45:46" x14ac:dyDescent="0.25">
      <c r="AS824" s="65"/>
      <c r="AT824" s="65"/>
    </row>
    <row r="825" spans="45:46" x14ac:dyDescent="0.25">
      <c r="AS825" s="65"/>
      <c r="AT825" s="65"/>
    </row>
    <row r="826" spans="45:46" x14ac:dyDescent="0.25">
      <c r="AS826" s="65"/>
      <c r="AT826" s="65"/>
    </row>
    <row r="827" spans="45:46" x14ac:dyDescent="0.25">
      <c r="AS827" s="65"/>
      <c r="AT827" s="65"/>
    </row>
    <row r="828" spans="45:46" x14ac:dyDescent="0.25">
      <c r="AS828" s="65"/>
      <c r="AT828" s="65"/>
    </row>
    <row r="829" spans="45:46" x14ac:dyDescent="0.25">
      <c r="AS829" s="65"/>
      <c r="AT829" s="65"/>
    </row>
    <row r="830" spans="45:46" x14ac:dyDescent="0.25">
      <c r="AS830" s="65"/>
      <c r="AT830" s="65"/>
    </row>
    <row r="831" spans="45:46" x14ac:dyDescent="0.25">
      <c r="AS831" s="65"/>
      <c r="AT831" s="65"/>
    </row>
    <row r="832" spans="45:46" x14ac:dyDescent="0.25">
      <c r="AS832" s="65"/>
      <c r="AT832" s="65"/>
    </row>
    <row r="833" spans="45:46" x14ac:dyDescent="0.25">
      <c r="AS833" s="65"/>
      <c r="AT833" s="65"/>
    </row>
    <row r="834" spans="45:46" x14ac:dyDescent="0.25">
      <c r="AS834" s="65"/>
      <c r="AT834" s="65"/>
    </row>
    <row r="835" spans="45:46" x14ac:dyDescent="0.25">
      <c r="AS835" s="65"/>
      <c r="AT835" s="65"/>
    </row>
    <row r="836" spans="45:46" x14ac:dyDescent="0.25">
      <c r="AS836" s="65"/>
      <c r="AT836" s="65"/>
    </row>
    <row r="837" spans="45:46" x14ac:dyDescent="0.25">
      <c r="AS837" s="65"/>
      <c r="AT837" s="65"/>
    </row>
    <row r="838" spans="45:46" x14ac:dyDescent="0.25">
      <c r="AS838" s="65"/>
      <c r="AT838" s="65"/>
    </row>
    <row r="839" spans="45:46" x14ac:dyDescent="0.25">
      <c r="AS839" s="65"/>
      <c r="AT839" s="65"/>
    </row>
    <row r="840" spans="45:46" x14ac:dyDescent="0.25">
      <c r="AS840" s="65"/>
      <c r="AT840" s="65"/>
    </row>
    <row r="841" spans="45:46" x14ac:dyDescent="0.25">
      <c r="AS841" s="65"/>
      <c r="AT841" s="65"/>
    </row>
    <row r="842" spans="45:46" x14ac:dyDescent="0.25">
      <c r="AS842" s="65"/>
      <c r="AT842" s="65"/>
    </row>
    <row r="843" spans="45:46" x14ac:dyDescent="0.25">
      <c r="AS843" s="65"/>
      <c r="AT843" s="65"/>
    </row>
    <row r="844" spans="45:46" x14ac:dyDescent="0.25">
      <c r="AS844" s="65"/>
      <c r="AT844" s="65"/>
    </row>
    <row r="845" spans="45:46" x14ac:dyDescent="0.25">
      <c r="AS845" s="65"/>
      <c r="AT845" s="65"/>
    </row>
    <row r="846" spans="45:46" x14ac:dyDescent="0.25">
      <c r="AS846" s="65"/>
      <c r="AT846" s="65"/>
    </row>
    <row r="847" spans="45:46" x14ac:dyDescent="0.25">
      <c r="AS847" s="65"/>
      <c r="AT847" s="65"/>
    </row>
    <row r="848" spans="45:46" x14ac:dyDescent="0.25">
      <c r="AS848" s="65"/>
      <c r="AT848" s="65"/>
    </row>
    <row r="849" spans="45:46" x14ac:dyDescent="0.25">
      <c r="AS849" s="65"/>
      <c r="AT849" s="65"/>
    </row>
    <row r="850" spans="45:46" x14ac:dyDescent="0.25">
      <c r="AS850" s="65"/>
      <c r="AT850" s="65"/>
    </row>
    <row r="851" spans="45:46" x14ac:dyDescent="0.25">
      <c r="AS851" s="65"/>
      <c r="AT851" s="65"/>
    </row>
    <row r="852" spans="45:46" x14ac:dyDescent="0.25">
      <c r="AS852" s="65"/>
      <c r="AT852" s="65"/>
    </row>
    <row r="853" spans="45:46" x14ac:dyDescent="0.25">
      <c r="AS853" s="65"/>
      <c r="AT853" s="65"/>
    </row>
    <row r="854" spans="45:46" x14ac:dyDescent="0.25">
      <c r="AS854" s="65"/>
      <c r="AT854" s="65"/>
    </row>
    <row r="855" spans="45:46" x14ac:dyDescent="0.25">
      <c r="AS855" s="65"/>
      <c r="AT855" s="65"/>
    </row>
    <row r="856" spans="45:46" x14ac:dyDescent="0.25">
      <c r="AS856" s="65"/>
      <c r="AT856" s="65"/>
    </row>
    <row r="857" spans="45:46" x14ac:dyDescent="0.25">
      <c r="AS857" s="65"/>
      <c r="AT857" s="65"/>
    </row>
    <row r="858" spans="45:46" x14ac:dyDescent="0.25">
      <c r="AS858" s="65"/>
      <c r="AT858" s="65"/>
    </row>
    <row r="859" spans="45:46" x14ac:dyDescent="0.25">
      <c r="AS859" s="65"/>
      <c r="AT859" s="65"/>
    </row>
    <row r="860" spans="45:46" x14ac:dyDescent="0.25">
      <c r="AS860" s="65"/>
      <c r="AT860" s="65"/>
    </row>
    <row r="861" spans="45:46" x14ac:dyDescent="0.25">
      <c r="AS861" s="65"/>
      <c r="AT861" s="65"/>
    </row>
    <row r="862" spans="45:46" x14ac:dyDescent="0.25">
      <c r="AS862" s="65"/>
      <c r="AT862" s="65"/>
    </row>
    <row r="863" spans="45:46" x14ac:dyDescent="0.25">
      <c r="AS863" s="65"/>
      <c r="AT863" s="65"/>
    </row>
    <row r="864" spans="45:46" x14ac:dyDescent="0.25">
      <c r="AS864" s="65"/>
      <c r="AT864" s="65"/>
    </row>
    <row r="865" spans="45:46" x14ac:dyDescent="0.25">
      <c r="AS865" s="65"/>
      <c r="AT865" s="65"/>
    </row>
    <row r="866" spans="45:46" x14ac:dyDescent="0.25">
      <c r="AS866" s="65"/>
      <c r="AT866" s="65"/>
    </row>
    <row r="867" spans="45:46" x14ac:dyDescent="0.25">
      <c r="AS867" s="65"/>
      <c r="AT867" s="65"/>
    </row>
    <row r="868" spans="45:46" x14ac:dyDescent="0.25">
      <c r="AS868" s="65"/>
      <c r="AT868" s="65"/>
    </row>
    <row r="869" spans="45:46" x14ac:dyDescent="0.25">
      <c r="AS869" s="65"/>
      <c r="AT869" s="65"/>
    </row>
    <row r="870" spans="45:46" x14ac:dyDescent="0.25">
      <c r="AS870" s="65"/>
      <c r="AT870" s="65"/>
    </row>
    <row r="871" spans="45:46" x14ac:dyDescent="0.25">
      <c r="AS871" s="65"/>
      <c r="AT871" s="65"/>
    </row>
    <row r="872" spans="45:46" x14ac:dyDescent="0.25">
      <c r="AS872" s="65"/>
      <c r="AT872" s="65"/>
    </row>
    <row r="873" spans="45:46" x14ac:dyDescent="0.25">
      <c r="AS873" s="65"/>
      <c r="AT873" s="65"/>
    </row>
    <row r="874" spans="45:46" x14ac:dyDescent="0.25">
      <c r="AS874" s="65"/>
      <c r="AT874" s="65"/>
    </row>
    <row r="875" spans="45:46" x14ac:dyDescent="0.25">
      <c r="AS875" s="65"/>
      <c r="AT875" s="65"/>
    </row>
    <row r="876" spans="45:46" x14ac:dyDescent="0.25">
      <c r="AS876" s="65"/>
      <c r="AT876" s="65"/>
    </row>
    <row r="877" spans="45:46" x14ac:dyDescent="0.25">
      <c r="AS877" s="65"/>
      <c r="AT877" s="65"/>
    </row>
    <row r="878" spans="45:46" x14ac:dyDescent="0.25">
      <c r="AS878" s="65"/>
      <c r="AT878" s="65"/>
    </row>
    <row r="879" spans="45:46" x14ac:dyDescent="0.25">
      <c r="AS879" s="65"/>
      <c r="AT879" s="65"/>
    </row>
    <row r="880" spans="45:46" x14ac:dyDescent="0.25">
      <c r="AS880" s="65"/>
      <c r="AT880" s="65"/>
    </row>
    <row r="881" spans="45:46" x14ac:dyDescent="0.25">
      <c r="AS881" s="65"/>
      <c r="AT881" s="65"/>
    </row>
    <row r="882" spans="45:46" x14ac:dyDescent="0.25">
      <c r="AS882" s="65"/>
      <c r="AT882" s="65"/>
    </row>
    <row r="883" spans="45:46" x14ac:dyDescent="0.25">
      <c r="AS883" s="65"/>
      <c r="AT883" s="65"/>
    </row>
    <row r="884" spans="45:46" x14ac:dyDescent="0.25">
      <c r="AS884" s="65"/>
      <c r="AT884" s="65"/>
    </row>
    <row r="885" spans="45:46" x14ac:dyDescent="0.25">
      <c r="AS885" s="65"/>
      <c r="AT885" s="65"/>
    </row>
    <row r="886" spans="45:46" x14ac:dyDescent="0.25">
      <c r="AS886" s="65"/>
      <c r="AT886" s="65"/>
    </row>
    <row r="887" spans="45:46" x14ac:dyDescent="0.25">
      <c r="AS887" s="65"/>
      <c r="AT887" s="65"/>
    </row>
    <row r="888" spans="45:46" x14ac:dyDescent="0.25">
      <c r="AS888" s="65"/>
      <c r="AT888" s="65"/>
    </row>
    <row r="889" spans="45:46" x14ac:dyDescent="0.25">
      <c r="AS889" s="65"/>
      <c r="AT889" s="65"/>
    </row>
    <row r="890" spans="45:46" x14ac:dyDescent="0.25">
      <c r="AS890" s="65"/>
      <c r="AT890" s="65"/>
    </row>
    <row r="891" spans="45:46" x14ac:dyDescent="0.25">
      <c r="AS891" s="65"/>
      <c r="AT891" s="65"/>
    </row>
    <row r="892" spans="45:46" x14ac:dyDescent="0.25">
      <c r="AS892" s="65"/>
      <c r="AT892" s="65"/>
    </row>
    <row r="893" spans="45:46" x14ac:dyDescent="0.25">
      <c r="AS893" s="65"/>
      <c r="AT893" s="65"/>
    </row>
    <row r="894" spans="45:46" x14ac:dyDescent="0.25">
      <c r="AS894" s="65"/>
      <c r="AT894" s="65"/>
    </row>
    <row r="895" spans="45:46" x14ac:dyDescent="0.25">
      <c r="AS895" s="65"/>
      <c r="AT895" s="65"/>
    </row>
    <row r="896" spans="45:46" x14ac:dyDescent="0.25">
      <c r="AS896" s="65"/>
      <c r="AT896" s="65"/>
    </row>
    <row r="897" spans="45:46" x14ac:dyDescent="0.25">
      <c r="AS897" s="65"/>
      <c r="AT897" s="65"/>
    </row>
    <row r="898" spans="45:46" x14ac:dyDescent="0.25">
      <c r="AS898" s="65"/>
      <c r="AT898" s="65"/>
    </row>
    <row r="899" spans="45:46" x14ac:dyDescent="0.25">
      <c r="AS899" s="65"/>
      <c r="AT899" s="65"/>
    </row>
    <row r="900" spans="45:46" x14ac:dyDescent="0.25">
      <c r="AS900" s="65"/>
      <c r="AT900" s="65"/>
    </row>
    <row r="901" spans="45:46" x14ac:dyDescent="0.25">
      <c r="AS901" s="65"/>
      <c r="AT901" s="65"/>
    </row>
    <row r="902" spans="45:46" x14ac:dyDescent="0.25">
      <c r="AS902" s="65"/>
      <c r="AT902" s="65"/>
    </row>
    <row r="903" spans="45:46" x14ac:dyDescent="0.25">
      <c r="AS903" s="65"/>
      <c r="AT903" s="65"/>
    </row>
    <row r="904" spans="45:46" x14ac:dyDescent="0.25">
      <c r="AS904" s="65"/>
      <c r="AT904" s="65"/>
    </row>
    <row r="905" spans="45:46" x14ac:dyDescent="0.25">
      <c r="AS905" s="65"/>
      <c r="AT905" s="65"/>
    </row>
    <row r="906" spans="45:46" x14ac:dyDescent="0.25">
      <c r="AS906" s="65"/>
      <c r="AT906" s="65"/>
    </row>
    <row r="907" spans="45:46" x14ac:dyDescent="0.25">
      <c r="AS907" s="65"/>
      <c r="AT907" s="65"/>
    </row>
    <row r="908" spans="45:46" x14ac:dyDescent="0.25">
      <c r="AS908" s="65"/>
      <c r="AT908" s="65"/>
    </row>
    <row r="909" spans="45:46" x14ac:dyDescent="0.25">
      <c r="AS909" s="65"/>
      <c r="AT909" s="65"/>
    </row>
    <row r="910" spans="45:46" x14ac:dyDescent="0.25">
      <c r="AS910" s="65"/>
      <c r="AT910" s="65"/>
    </row>
    <row r="911" spans="45:46" x14ac:dyDescent="0.25">
      <c r="AS911" s="65"/>
      <c r="AT911" s="65"/>
    </row>
    <row r="912" spans="45:46" x14ac:dyDescent="0.25">
      <c r="AS912" s="65"/>
      <c r="AT912" s="65"/>
    </row>
    <row r="913" spans="45:46" x14ac:dyDescent="0.25">
      <c r="AS913" s="65"/>
      <c r="AT913" s="65"/>
    </row>
    <row r="914" spans="45:46" x14ac:dyDescent="0.25">
      <c r="AS914" s="65"/>
      <c r="AT914" s="65"/>
    </row>
    <row r="915" spans="45:46" x14ac:dyDescent="0.25">
      <c r="AS915" s="65"/>
      <c r="AT915" s="65"/>
    </row>
    <row r="916" spans="45:46" x14ac:dyDescent="0.25">
      <c r="AS916" s="65"/>
      <c r="AT916" s="65"/>
    </row>
    <row r="917" spans="45:46" x14ac:dyDescent="0.25">
      <c r="AS917" s="65"/>
      <c r="AT917" s="65"/>
    </row>
    <row r="918" spans="45:46" x14ac:dyDescent="0.25">
      <c r="AS918" s="65"/>
      <c r="AT918" s="65"/>
    </row>
    <row r="919" spans="45:46" x14ac:dyDescent="0.25">
      <c r="AS919" s="65"/>
      <c r="AT919" s="65"/>
    </row>
    <row r="920" spans="45:46" x14ac:dyDescent="0.25">
      <c r="AS920" s="65"/>
      <c r="AT920" s="65"/>
    </row>
    <row r="921" spans="45:46" x14ac:dyDescent="0.25">
      <c r="AS921" s="65"/>
      <c r="AT921" s="65"/>
    </row>
    <row r="922" spans="45:46" x14ac:dyDescent="0.25">
      <c r="AS922" s="65"/>
      <c r="AT922" s="65"/>
    </row>
    <row r="923" spans="45:46" x14ac:dyDescent="0.25">
      <c r="AS923" s="65"/>
      <c r="AT923" s="65"/>
    </row>
    <row r="924" spans="45:46" x14ac:dyDescent="0.25">
      <c r="AS924" s="65"/>
      <c r="AT924" s="65"/>
    </row>
    <row r="925" spans="45:46" x14ac:dyDescent="0.25">
      <c r="AS925" s="65"/>
      <c r="AT925" s="65"/>
    </row>
    <row r="926" spans="45:46" x14ac:dyDescent="0.25">
      <c r="AS926" s="65"/>
      <c r="AT926" s="65"/>
    </row>
    <row r="927" spans="45:46" x14ac:dyDescent="0.25">
      <c r="AS927" s="65"/>
      <c r="AT927" s="65"/>
    </row>
    <row r="928" spans="45:46" x14ac:dyDescent="0.25">
      <c r="AS928" s="65"/>
      <c r="AT928" s="65"/>
    </row>
    <row r="929" spans="45:46" x14ac:dyDescent="0.25">
      <c r="AS929" s="65"/>
      <c r="AT929" s="65"/>
    </row>
    <row r="930" spans="45:46" x14ac:dyDescent="0.25">
      <c r="AS930" s="65"/>
      <c r="AT930" s="65"/>
    </row>
    <row r="931" spans="45:46" x14ac:dyDescent="0.25">
      <c r="AS931" s="65"/>
      <c r="AT931" s="65"/>
    </row>
    <row r="932" spans="45:46" x14ac:dyDescent="0.25">
      <c r="AS932" s="65"/>
      <c r="AT932" s="65"/>
    </row>
    <row r="933" spans="45:46" x14ac:dyDescent="0.25">
      <c r="AS933" s="65"/>
      <c r="AT933" s="65"/>
    </row>
    <row r="934" spans="45:46" x14ac:dyDescent="0.25">
      <c r="AS934" s="65"/>
      <c r="AT934" s="65"/>
    </row>
    <row r="935" spans="45:46" x14ac:dyDescent="0.25">
      <c r="AS935" s="65"/>
      <c r="AT935" s="65"/>
    </row>
    <row r="936" spans="45:46" x14ac:dyDescent="0.25">
      <c r="AS936" s="65"/>
      <c r="AT936" s="65"/>
    </row>
    <row r="937" spans="45:46" x14ac:dyDescent="0.25">
      <c r="AS937" s="65"/>
      <c r="AT937" s="65"/>
    </row>
    <row r="938" spans="45:46" x14ac:dyDescent="0.25">
      <c r="AS938" s="65"/>
      <c r="AT938" s="65"/>
    </row>
    <row r="939" spans="45:46" x14ac:dyDescent="0.25">
      <c r="AS939" s="65"/>
      <c r="AT939" s="65"/>
    </row>
    <row r="940" spans="45:46" x14ac:dyDescent="0.25">
      <c r="AS940" s="65"/>
      <c r="AT940" s="65"/>
    </row>
    <row r="941" spans="45:46" x14ac:dyDescent="0.25">
      <c r="AS941" s="65"/>
      <c r="AT941" s="65"/>
    </row>
    <row r="942" spans="45:46" x14ac:dyDescent="0.25">
      <c r="AS942" s="65"/>
      <c r="AT942" s="65"/>
    </row>
    <row r="943" spans="45:46" x14ac:dyDescent="0.25">
      <c r="AS943" s="65"/>
      <c r="AT943" s="65"/>
    </row>
    <row r="944" spans="45:46" x14ac:dyDescent="0.25">
      <c r="AS944" s="65"/>
      <c r="AT944" s="65"/>
    </row>
    <row r="945" spans="45:46" x14ac:dyDescent="0.25">
      <c r="AS945" s="65"/>
      <c r="AT945" s="65"/>
    </row>
    <row r="946" spans="45:46" x14ac:dyDescent="0.25">
      <c r="AS946" s="65"/>
      <c r="AT946" s="65"/>
    </row>
    <row r="947" spans="45:46" x14ac:dyDescent="0.25">
      <c r="AS947" s="65"/>
      <c r="AT947" s="65"/>
    </row>
    <row r="948" spans="45:46" x14ac:dyDescent="0.25">
      <c r="AS948" s="65"/>
      <c r="AT948" s="65"/>
    </row>
    <row r="949" spans="45:46" x14ac:dyDescent="0.25">
      <c r="AS949" s="65"/>
      <c r="AT949" s="65"/>
    </row>
    <row r="950" spans="45:46" x14ac:dyDescent="0.25">
      <c r="AS950" s="65"/>
      <c r="AT950" s="65"/>
    </row>
    <row r="951" spans="45:46" x14ac:dyDescent="0.25">
      <c r="AS951" s="65"/>
      <c r="AT951" s="65"/>
    </row>
    <row r="952" spans="45:46" x14ac:dyDescent="0.25">
      <c r="AS952" s="65"/>
      <c r="AT952" s="65"/>
    </row>
    <row r="953" spans="45:46" x14ac:dyDescent="0.25">
      <c r="AS953" s="65"/>
      <c r="AT953" s="65"/>
    </row>
    <row r="954" spans="45:46" x14ac:dyDescent="0.25">
      <c r="AS954" s="65"/>
      <c r="AT954" s="65"/>
    </row>
    <row r="955" spans="45:46" x14ac:dyDescent="0.25">
      <c r="AS955" s="65"/>
      <c r="AT955" s="65"/>
    </row>
    <row r="956" spans="45:46" x14ac:dyDescent="0.25">
      <c r="AS956" s="65"/>
      <c r="AT956" s="65"/>
    </row>
    <row r="957" spans="45:46" x14ac:dyDescent="0.25">
      <c r="AS957" s="65"/>
      <c r="AT957" s="65"/>
    </row>
    <row r="958" spans="45:46" x14ac:dyDescent="0.25">
      <c r="AS958" s="65"/>
      <c r="AT958" s="65"/>
    </row>
    <row r="959" spans="45:46" x14ac:dyDescent="0.25">
      <c r="AS959" s="65"/>
      <c r="AT959" s="65"/>
    </row>
    <row r="960" spans="45:46" x14ac:dyDescent="0.25">
      <c r="AS960" s="65"/>
      <c r="AT960" s="65"/>
    </row>
    <row r="961" spans="45:46" x14ac:dyDescent="0.25">
      <c r="AS961" s="65"/>
      <c r="AT961" s="65"/>
    </row>
    <row r="962" spans="45:46" x14ac:dyDescent="0.25">
      <c r="AS962" s="65"/>
      <c r="AT962" s="65"/>
    </row>
    <row r="963" spans="45:46" x14ac:dyDescent="0.25">
      <c r="AS963" s="65"/>
      <c r="AT963" s="65"/>
    </row>
    <row r="964" spans="45:46" x14ac:dyDescent="0.25">
      <c r="AS964" s="65"/>
      <c r="AT964" s="65"/>
    </row>
    <row r="965" spans="45:46" x14ac:dyDescent="0.25">
      <c r="AS965" s="65"/>
      <c r="AT965" s="65"/>
    </row>
    <row r="966" spans="45:46" x14ac:dyDescent="0.25">
      <c r="AS966" s="65"/>
      <c r="AT966" s="65"/>
    </row>
    <row r="967" spans="45:46" x14ac:dyDescent="0.25">
      <c r="AS967" s="65"/>
      <c r="AT967" s="65"/>
    </row>
    <row r="968" spans="45:46" x14ac:dyDescent="0.25">
      <c r="AS968" s="65"/>
      <c r="AT968" s="65"/>
    </row>
    <row r="969" spans="45:46" x14ac:dyDescent="0.25">
      <c r="AS969" s="65"/>
      <c r="AT969" s="65"/>
    </row>
    <row r="970" spans="45:46" x14ac:dyDescent="0.25">
      <c r="AS970" s="65"/>
      <c r="AT970" s="65"/>
    </row>
    <row r="971" spans="45:46" x14ac:dyDescent="0.25">
      <c r="AS971" s="65"/>
      <c r="AT971" s="65"/>
    </row>
    <row r="972" spans="45:46" x14ac:dyDescent="0.25">
      <c r="AS972" s="65"/>
      <c r="AT972" s="65"/>
    </row>
    <row r="973" spans="45:46" x14ac:dyDescent="0.25">
      <c r="AS973" s="65"/>
      <c r="AT973" s="65"/>
    </row>
    <row r="974" spans="45:46" x14ac:dyDescent="0.25">
      <c r="AS974" s="65"/>
      <c r="AT974" s="65"/>
    </row>
    <row r="975" spans="45:46" x14ac:dyDescent="0.25">
      <c r="AS975" s="65"/>
      <c r="AT975" s="65"/>
    </row>
    <row r="976" spans="45:46" x14ac:dyDescent="0.25">
      <c r="AS976" s="65"/>
      <c r="AT976" s="65"/>
    </row>
    <row r="977" spans="45:46" x14ac:dyDescent="0.25">
      <c r="AS977" s="65"/>
      <c r="AT977" s="65"/>
    </row>
    <row r="978" spans="45:46" x14ac:dyDescent="0.25">
      <c r="AS978" s="65"/>
      <c r="AT978" s="65"/>
    </row>
    <row r="979" spans="45:46" x14ac:dyDescent="0.25">
      <c r="AS979" s="65"/>
      <c r="AT979" s="65"/>
    </row>
    <row r="980" spans="45:46" x14ac:dyDescent="0.25">
      <c r="AS980" s="65"/>
      <c r="AT980" s="65"/>
    </row>
    <row r="981" spans="45:46" x14ac:dyDescent="0.25">
      <c r="AS981" s="65"/>
      <c r="AT981" s="65"/>
    </row>
    <row r="982" spans="45:46" x14ac:dyDescent="0.25">
      <c r="AS982" s="65"/>
      <c r="AT982" s="65"/>
    </row>
    <row r="983" spans="45:46" x14ac:dyDescent="0.25">
      <c r="AS983" s="65"/>
      <c r="AT983" s="65"/>
    </row>
    <row r="984" spans="45:46" x14ac:dyDescent="0.25">
      <c r="AS984" s="65"/>
      <c r="AT984" s="65"/>
    </row>
    <row r="985" spans="45:46" x14ac:dyDescent="0.25">
      <c r="AS985" s="65"/>
      <c r="AT985" s="65"/>
    </row>
    <row r="986" spans="45:46" x14ac:dyDescent="0.25">
      <c r="AS986" s="65"/>
      <c r="AT986" s="65"/>
    </row>
    <row r="987" spans="45:46" x14ac:dyDescent="0.25">
      <c r="AS987" s="65"/>
      <c r="AT987" s="65"/>
    </row>
    <row r="988" spans="45:46" x14ac:dyDescent="0.25">
      <c r="AS988" s="65"/>
      <c r="AT988" s="65"/>
    </row>
    <row r="989" spans="45:46" x14ac:dyDescent="0.25">
      <c r="AS989" s="65"/>
      <c r="AT989" s="65"/>
    </row>
    <row r="990" spans="45:46" x14ac:dyDescent="0.25">
      <c r="AS990" s="65"/>
      <c r="AT990" s="65"/>
    </row>
    <row r="991" spans="45:46" x14ac:dyDescent="0.25">
      <c r="AS991" s="65"/>
      <c r="AT991" s="65"/>
    </row>
    <row r="992" spans="45:46" x14ac:dyDescent="0.25">
      <c r="AS992" s="65"/>
      <c r="AT992" s="65"/>
    </row>
    <row r="993" spans="45:46" x14ac:dyDescent="0.25">
      <c r="AS993" s="65"/>
      <c r="AT993" s="65"/>
    </row>
    <row r="994" spans="45:46" x14ac:dyDescent="0.25">
      <c r="AS994" s="65"/>
      <c r="AT994" s="65"/>
    </row>
    <row r="995" spans="45:46" x14ac:dyDescent="0.25">
      <c r="AS995" s="65"/>
      <c r="AT995" s="65"/>
    </row>
    <row r="996" spans="45:46" x14ac:dyDescent="0.25">
      <c r="AS996" s="65"/>
      <c r="AT996" s="65"/>
    </row>
    <row r="997" spans="45:46" x14ac:dyDescent="0.25">
      <c r="AS997" s="65"/>
      <c r="AT997" s="65"/>
    </row>
    <row r="998" spans="45:46" x14ac:dyDescent="0.25">
      <c r="AS998" s="65"/>
      <c r="AT998" s="65"/>
    </row>
    <row r="999" spans="45:46" x14ac:dyDescent="0.25">
      <c r="AS999" s="65"/>
      <c r="AT999" s="65"/>
    </row>
    <row r="1000" spans="45:46" x14ac:dyDescent="0.25">
      <c r="AS1000" s="65"/>
      <c r="AT1000" s="65"/>
    </row>
    <row r="1001" spans="45:46" x14ac:dyDescent="0.25">
      <c r="AS1001" s="65"/>
      <c r="AT1001" s="65"/>
    </row>
    <row r="1002" spans="45:46" x14ac:dyDescent="0.25">
      <c r="AS1002" s="65"/>
      <c r="AT1002" s="65"/>
    </row>
    <row r="1003" spans="45:46" x14ac:dyDescent="0.25">
      <c r="AS1003" s="65"/>
      <c r="AT1003" s="65"/>
    </row>
    <row r="1004" spans="45:46" x14ac:dyDescent="0.25">
      <c r="AS1004" s="65"/>
      <c r="AT1004" s="65"/>
    </row>
    <row r="1005" spans="45:46" x14ac:dyDescent="0.25">
      <c r="AS1005" s="65"/>
      <c r="AT1005" s="65"/>
    </row>
    <row r="1006" spans="45:46" x14ac:dyDescent="0.25">
      <c r="AS1006" s="65"/>
      <c r="AT1006" s="65"/>
    </row>
    <row r="1007" spans="45:46" x14ac:dyDescent="0.25">
      <c r="AS1007" s="65"/>
      <c r="AT1007" s="65"/>
    </row>
    <row r="1008" spans="45:46" x14ac:dyDescent="0.25">
      <c r="AS1008" s="65"/>
      <c r="AT1008" s="65"/>
    </row>
    <row r="1009" spans="45:46" x14ac:dyDescent="0.25">
      <c r="AS1009" s="65"/>
      <c r="AT1009" s="65"/>
    </row>
    <row r="1010" spans="45:46" x14ac:dyDescent="0.25">
      <c r="AS1010" s="65"/>
      <c r="AT1010" s="65"/>
    </row>
    <row r="1011" spans="45:46" x14ac:dyDescent="0.25">
      <c r="AS1011" s="65"/>
      <c r="AT1011" s="65"/>
    </row>
    <row r="1012" spans="45:46" x14ac:dyDescent="0.25">
      <c r="AS1012" s="65"/>
      <c r="AT1012" s="65"/>
    </row>
    <row r="1013" spans="45:46" x14ac:dyDescent="0.25">
      <c r="AS1013" s="65"/>
      <c r="AT1013" s="65"/>
    </row>
    <row r="1014" spans="45:46" x14ac:dyDescent="0.25">
      <c r="AS1014" s="65"/>
      <c r="AT1014" s="65"/>
    </row>
    <row r="1015" spans="45:46" x14ac:dyDescent="0.25">
      <c r="AS1015" s="65"/>
      <c r="AT1015" s="65"/>
    </row>
    <row r="1016" spans="45:46" x14ac:dyDescent="0.25">
      <c r="AS1016" s="65"/>
      <c r="AT1016" s="65"/>
    </row>
    <row r="1017" spans="45:46" x14ac:dyDescent="0.25">
      <c r="AS1017" s="65"/>
      <c r="AT1017" s="65"/>
    </row>
    <row r="1018" spans="45:46" x14ac:dyDescent="0.25">
      <c r="AS1018" s="65"/>
      <c r="AT1018" s="65"/>
    </row>
    <row r="1019" spans="45:46" x14ac:dyDescent="0.25">
      <c r="AS1019" s="65"/>
      <c r="AT1019" s="65"/>
    </row>
    <row r="1020" spans="45:46" x14ac:dyDescent="0.25">
      <c r="AS1020" s="65"/>
      <c r="AT1020" s="65"/>
    </row>
    <row r="1021" spans="45:46" x14ac:dyDescent="0.25">
      <c r="AS1021" s="65"/>
      <c r="AT1021" s="65"/>
    </row>
    <row r="1022" spans="45:46" x14ac:dyDescent="0.25">
      <c r="AS1022" s="65"/>
      <c r="AT1022" s="65"/>
    </row>
    <row r="1023" spans="45:46" x14ac:dyDescent="0.25">
      <c r="AS1023" s="65"/>
      <c r="AT1023" s="65"/>
    </row>
    <row r="1024" spans="45:46" x14ac:dyDescent="0.25">
      <c r="AS1024" s="65"/>
      <c r="AT1024" s="65"/>
    </row>
    <row r="1025" spans="45:46" x14ac:dyDescent="0.25">
      <c r="AS1025" s="65"/>
      <c r="AT1025" s="65"/>
    </row>
    <row r="1026" spans="45:46" x14ac:dyDescent="0.25">
      <c r="AS1026" s="65"/>
      <c r="AT1026" s="65"/>
    </row>
    <row r="1027" spans="45:46" x14ac:dyDescent="0.25">
      <c r="AS1027" s="65"/>
      <c r="AT1027" s="65"/>
    </row>
    <row r="1028" spans="45:46" x14ac:dyDescent="0.25">
      <c r="AS1028" s="65"/>
      <c r="AT1028" s="65"/>
    </row>
    <row r="1029" spans="45:46" x14ac:dyDescent="0.25">
      <c r="AS1029" s="65"/>
      <c r="AT1029" s="65"/>
    </row>
    <row r="1030" spans="45:46" x14ac:dyDescent="0.25">
      <c r="AS1030" s="65"/>
      <c r="AT1030" s="65"/>
    </row>
    <row r="1031" spans="45:46" x14ac:dyDescent="0.25">
      <c r="AS1031" s="65"/>
      <c r="AT1031" s="65"/>
    </row>
    <row r="1032" spans="45:46" x14ac:dyDescent="0.25">
      <c r="AS1032" s="65"/>
      <c r="AT1032" s="65"/>
    </row>
    <row r="1033" spans="45:46" x14ac:dyDescent="0.25">
      <c r="AS1033" s="65"/>
      <c r="AT1033" s="65"/>
    </row>
    <row r="1034" spans="45:46" x14ac:dyDescent="0.25">
      <c r="AS1034" s="65"/>
      <c r="AT1034" s="65"/>
    </row>
    <row r="1035" spans="45:46" x14ac:dyDescent="0.25">
      <c r="AS1035" s="65"/>
      <c r="AT1035" s="65"/>
    </row>
    <row r="1036" spans="45:46" x14ac:dyDescent="0.25">
      <c r="AS1036" s="65"/>
      <c r="AT1036" s="65"/>
    </row>
    <row r="1037" spans="45:46" x14ac:dyDescent="0.25">
      <c r="AS1037" s="65"/>
      <c r="AT1037" s="65"/>
    </row>
    <row r="1038" spans="45:46" x14ac:dyDescent="0.25">
      <c r="AS1038" s="65"/>
      <c r="AT1038" s="65"/>
    </row>
    <row r="1039" spans="45:46" x14ac:dyDescent="0.25">
      <c r="AS1039" s="65"/>
      <c r="AT1039" s="65"/>
    </row>
    <row r="1040" spans="45:46" x14ac:dyDescent="0.25">
      <c r="AS1040" s="65"/>
      <c r="AT1040" s="65"/>
    </row>
    <row r="1041" spans="45:46" x14ac:dyDescent="0.25">
      <c r="AS1041" s="65"/>
      <c r="AT1041" s="65"/>
    </row>
    <row r="1042" spans="45:46" x14ac:dyDescent="0.25">
      <c r="AS1042" s="65"/>
      <c r="AT1042" s="65"/>
    </row>
    <row r="1043" spans="45:46" x14ac:dyDescent="0.25">
      <c r="AS1043" s="65"/>
      <c r="AT1043" s="65"/>
    </row>
    <row r="1044" spans="45:46" x14ac:dyDescent="0.25">
      <c r="AS1044" s="65"/>
      <c r="AT1044" s="65"/>
    </row>
    <row r="1045" spans="45:46" x14ac:dyDescent="0.25">
      <c r="AS1045" s="65"/>
      <c r="AT1045" s="65"/>
    </row>
    <row r="1046" spans="45:46" x14ac:dyDescent="0.25">
      <c r="AS1046" s="65"/>
      <c r="AT1046" s="65"/>
    </row>
    <row r="1047" spans="45:46" x14ac:dyDescent="0.25">
      <c r="AS1047" s="65"/>
      <c r="AT1047" s="65"/>
    </row>
    <row r="1048" spans="45:46" x14ac:dyDescent="0.25">
      <c r="AS1048" s="65"/>
      <c r="AT1048" s="65"/>
    </row>
    <row r="1049" spans="45:46" x14ac:dyDescent="0.25">
      <c r="AS1049" s="65"/>
      <c r="AT1049" s="65"/>
    </row>
    <row r="1050" spans="45:46" x14ac:dyDescent="0.25">
      <c r="AS1050" s="65"/>
      <c r="AT1050" s="65"/>
    </row>
    <row r="1051" spans="45:46" x14ac:dyDescent="0.25">
      <c r="AS1051" s="65"/>
      <c r="AT1051" s="65"/>
    </row>
    <row r="1052" spans="45:46" x14ac:dyDescent="0.25">
      <c r="AS1052" s="65"/>
      <c r="AT1052" s="65"/>
    </row>
    <row r="1053" spans="45:46" x14ac:dyDescent="0.25">
      <c r="AS1053" s="65"/>
      <c r="AT1053" s="65"/>
    </row>
    <row r="1054" spans="45:46" x14ac:dyDescent="0.25">
      <c r="AS1054" s="65"/>
      <c r="AT1054" s="65"/>
    </row>
    <row r="1055" spans="45:46" x14ac:dyDescent="0.25">
      <c r="AS1055" s="65"/>
      <c r="AT1055" s="65"/>
    </row>
    <row r="1056" spans="45:46" x14ac:dyDescent="0.25">
      <c r="AS1056" s="65"/>
      <c r="AT1056" s="65"/>
    </row>
    <row r="1057" spans="45:46" x14ac:dyDescent="0.25">
      <c r="AS1057" s="65"/>
      <c r="AT1057" s="65"/>
    </row>
    <row r="1058" spans="45:46" x14ac:dyDescent="0.25">
      <c r="AS1058" s="65"/>
      <c r="AT1058" s="65"/>
    </row>
    <row r="1059" spans="45:46" x14ac:dyDescent="0.25">
      <c r="AS1059" s="65"/>
      <c r="AT1059" s="65"/>
    </row>
    <row r="1060" spans="45:46" x14ac:dyDescent="0.25">
      <c r="AS1060" s="65"/>
      <c r="AT1060" s="65"/>
    </row>
    <row r="1061" spans="45:46" x14ac:dyDescent="0.25">
      <c r="AS1061" s="65"/>
      <c r="AT1061" s="65"/>
    </row>
    <row r="1062" spans="45:46" x14ac:dyDescent="0.25">
      <c r="AS1062" s="65"/>
      <c r="AT1062" s="65"/>
    </row>
    <row r="1063" spans="45:46" x14ac:dyDescent="0.25">
      <c r="AS1063" s="65"/>
      <c r="AT1063" s="65"/>
    </row>
    <row r="1064" spans="45:46" x14ac:dyDescent="0.25">
      <c r="AS1064" s="65"/>
      <c r="AT1064" s="65"/>
    </row>
    <row r="1065" spans="45:46" x14ac:dyDescent="0.25">
      <c r="AS1065" s="65"/>
      <c r="AT1065" s="65"/>
    </row>
    <row r="1066" spans="45:46" x14ac:dyDescent="0.25">
      <c r="AS1066" s="65"/>
      <c r="AT1066" s="65"/>
    </row>
    <row r="1067" spans="45:46" x14ac:dyDescent="0.25">
      <c r="AS1067" s="65"/>
      <c r="AT1067" s="65"/>
    </row>
    <row r="1068" spans="45:46" x14ac:dyDescent="0.25">
      <c r="AS1068" s="65"/>
      <c r="AT1068" s="65"/>
    </row>
    <row r="1069" spans="45:46" x14ac:dyDescent="0.25">
      <c r="AS1069" s="65"/>
      <c r="AT1069" s="65"/>
    </row>
    <row r="1070" spans="45:46" x14ac:dyDescent="0.25">
      <c r="AS1070" s="65"/>
      <c r="AT1070" s="65"/>
    </row>
    <row r="1071" spans="45:46" x14ac:dyDescent="0.25">
      <c r="AS1071" s="65"/>
      <c r="AT1071" s="65"/>
    </row>
    <row r="1072" spans="45:46" x14ac:dyDescent="0.25">
      <c r="AS1072" s="65"/>
      <c r="AT1072" s="65"/>
    </row>
    <row r="1073" spans="45:46" x14ac:dyDescent="0.25">
      <c r="AS1073" s="65"/>
      <c r="AT1073" s="65"/>
    </row>
    <row r="1074" spans="45:46" x14ac:dyDescent="0.25">
      <c r="AS1074" s="65"/>
      <c r="AT1074" s="65"/>
    </row>
    <row r="1075" spans="45:46" x14ac:dyDescent="0.25">
      <c r="AS1075" s="65"/>
      <c r="AT1075" s="65"/>
    </row>
    <row r="1076" spans="45:46" x14ac:dyDescent="0.25">
      <c r="AS1076" s="65"/>
      <c r="AT1076" s="65"/>
    </row>
    <row r="1077" spans="45:46" x14ac:dyDescent="0.25">
      <c r="AS1077" s="65"/>
      <c r="AT1077" s="65"/>
    </row>
    <row r="1078" spans="45:46" x14ac:dyDescent="0.25">
      <c r="AS1078" s="65"/>
      <c r="AT1078" s="65"/>
    </row>
    <row r="1079" spans="45:46" x14ac:dyDescent="0.25">
      <c r="AS1079" s="65"/>
      <c r="AT1079" s="65"/>
    </row>
    <row r="1080" spans="45:46" x14ac:dyDescent="0.25">
      <c r="AS1080" s="65"/>
      <c r="AT1080" s="65"/>
    </row>
    <row r="1081" spans="45:46" x14ac:dyDescent="0.25">
      <c r="AS1081" s="65"/>
      <c r="AT1081" s="65"/>
    </row>
    <row r="1082" spans="45:46" x14ac:dyDescent="0.25">
      <c r="AS1082" s="65"/>
      <c r="AT1082" s="65"/>
    </row>
    <row r="1083" spans="45:46" x14ac:dyDescent="0.25">
      <c r="AS1083" s="65"/>
      <c r="AT1083" s="65"/>
    </row>
    <row r="1084" spans="45:46" x14ac:dyDescent="0.25">
      <c r="AS1084" s="65"/>
      <c r="AT1084" s="65"/>
    </row>
    <row r="1085" spans="45:46" x14ac:dyDescent="0.25">
      <c r="AS1085" s="65"/>
      <c r="AT1085" s="65"/>
    </row>
    <row r="1086" spans="45:46" x14ac:dyDescent="0.25">
      <c r="AS1086" s="65"/>
      <c r="AT1086" s="65"/>
    </row>
    <row r="1087" spans="45:46" x14ac:dyDescent="0.25">
      <c r="AS1087" s="65"/>
      <c r="AT1087" s="65"/>
    </row>
    <row r="1088" spans="45:46" x14ac:dyDescent="0.25">
      <c r="AS1088" s="65"/>
      <c r="AT1088" s="65"/>
    </row>
    <row r="1089" spans="45:46" x14ac:dyDescent="0.25">
      <c r="AS1089" s="65"/>
      <c r="AT1089" s="65"/>
    </row>
    <row r="1090" spans="45:46" x14ac:dyDescent="0.25">
      <c r="AS1090" s="65"/>
      <c r="AT1090" s="65"/>
    </row>
    <row r="1091" spans="45:46" x14ac:dyDescent="0.25">
      <c r="AS1091" s="65"/>
      <c r="AT1091" s="65"/>
    </row>
    <row r="1092" spans="45:46" x14ac:dyDescent="0.25">
      <c r="AS1092" s="65"/>
      <c r="AT1092" s="65"/>
    </row>
    <row r="1093" spans="45:46" x14ac:dyDescent="0.25">
      <c r="AS1093" s="65"/>
      <c r="AT1093" s="65"/>
    </row>
    <row r="1094" spans="45:46" x14ac:dyDescent="0.25">
      <c r="AS1094" s="65"/>
      <c r="AT1094" s="65"/>
    </row>
    <row r="1095" spans="45:46" x14ac:dyDescent="0.25">
      <c r="AS1095" s="65"/>
      <c r="AT1095" s="65"/>
    </row>
    <row r="1096" spans="45:46" x14ac:dyDescent="0.25">
      <c r="AS1096" s="65"/>
      <c r="AT1096" s="65"/>
    </row>
    <row r="1097" spans="45:46" x14ac:dyDescent="0.25">
      <c r="AS1097" s="65"/>
      <c r="AT1097" s="65"/>
    </row>
    <row r="1098" spans="45:46" x14ac:dyDescent="0.25">
      <c r="AS1098" s="65"/>
      <c r="AT1098" s="65"/>
    </row>
    <row r="1099" spans="45:46" x14ac:dyDescent="0.25">
      <c r="AS1099" s="65"/>
      <c r="AT1099" s="65"/>
    </row>
    <row r="1100" spans="45:46" x14ac:dyDescent="0.25">
      <c r="AS1100" s="65"/>
      <c r="AT1100" s="65"/>
    </row>
    <row r="1101" spans="45:46" x14ac:dyDescent="0.25">
      <c r="AS1101" s="65"/>
      <c r="AT1101" s="65"/>
    </row>
    <row r="1102" spans="45:46" x14ac:dyDescent="0.25">
      <c r="AS1102" s="65"/>
      <c r="AT1102" s="65"/>
    </row>
    <row r="1103" spans="45:46" x14ac:dyDescent="0.25">
      <c r="AS1103" s="65"/>
      <c r="AT1103" s="65"/>
    </row>
    <row r="1104" spans="45:46" x14ac:dyDescent="0.25">
      <c r="AS1104" s="65"/>
      <c r="AT1104" s="65"/>
    </row>
    <row r="1105" spans="45:46" x14ac:dyDescent="0.25">
      <c r="AS1105" s="65"/>
      <c r="AT1105" s="65"/>
    </row>
    <row r="1106" spans="45:46" x14ac:dyDescent="0.25">
      <c r="AS1106" s="65"/>
      <c r="AT1106" s="65"/>
    </row>
    <row r="1107" spans="45:46" x14ac:dyDescent="0.25">
      <c r="AS1107" s="65"/>
      <c r="AT1107" s="65"/>
    </row>
    <row r="1108" spans="45:46" x14ac:dyDescent="0.25">
      <c r="AS1108" s="65"/>
      <c r="AT1108" s="65"/>
    </row>
    <row r="1109" spans="45:46" x14ac:dyDescent="0.25">
      <c r="AS1109" s="65"/>
      <c r="AT1109" s="65"/>
    </row>
    <row r="1110" spans="45:46" x14ac:dyDescent="0.25">
      <c r="AS1110" s="65"/>
      <c r="AT1110" s="65"/>
    </row>
    <row r="1111" spans="45:46" x14ac:dyDescent="0.25">
      <c r="AS1111" s="65"/>
      <c r="AT1111" s="65"/>
    </row>
    <row r="1112" spans="45:46" x14ac:dyDescent="0.25">
      <c r="AS1112" s="65"/>
      <c r="AT1112" s="65"/>
    </row>
    <row r="1113" spans="45:46" x14ac:dyDescent="0.25">
      <c r="AS1113" s="65"/>
      <c r="AT1113" s="65"/>
    </row>
    <row r="1114" spans="45:46" x14ac:dyDescent="0.25">
      <c r="AS1114" s="65"/>
      <c r="AT1114" s="65"/>
    </row>
    <row r="1115" spans="45:46" x14ac:dyDescent="0.25">
      <c r="AS1115" s="65"/>
      <c r="AT1115" s="65"/>
    </row>
    <row r="1116" spans="45:46" x14ac:dyDescent="0.25">
      <c r="AS1116" s="65"/>
      <c r="AT1116" s="65"/>
    </row>
    <row r="1117" spans="45:46" x14ac:dyDescent="0.25">
      <c r="AS1117" s="65"/>
      <c r="AT1117" s="65"/>
    </row>
    <row r="1118" spans="45:46" x14ac:dyDescent="0.25">
      <c r="AS1118" s="65"/>
      <c r="AT1118" s="65"/>
    </row>
    <row r="1119" spans="45:46" x14ac:dyDescent="0.25">
      <c r="AS1119" s="65"/>
      <c r="AT1119" s="65"/>
    </row>
    <row r="1120" spans="45:46" x14ac:dyDescent="0.25">
      <c r="AS1120" s="65"/>
      <c r="AT1120" s="65"/>
    </row>
    <row r="1121" spans="45:46" x14ac:dyDescent="0.25">
      <c r="AS1121" s="65"/>
      <c r="AT1121" s="65"/>
    </row>
    <row r="1122" spans="45:46" x14ac:dyDescent="0.25">
      <c r="AS1122" s="65"/>
      <c r="AT1122" s="65"/>
    </row>
    <row r="1123" spans="45:46" x14ac:dyDescent="0.25">
      <c r="AS1123" s="65"/>
      <c r="AT1123" s="65"/>
    </row>
    <row r="1124" spans="45:46" x14ac:dyDescent="0.25">
      <c r="AS1124" s="65"/>
      <c r="AT1124" s="65"/>
    </row>
    <row r="1125" spans="45:46" x14ac:dyDescent="0.25">
      <c r="AS1125" s="65"/>
      <c r="AT1125" s="65"/>
    </row>
    <row r="1126" spans="45:46" x14ac:dyDescent="0.25">
      <c r="AS1126" s="65"/>
      <c r="AT1126" s="65"/>
    </row>
    <row r="1127" spans="45:46" x14ac:dyDescent="0.25">
      <c r="AS1127" s="65"/>
      <c r="AT1127" s="65"/>
    </row>
    <row r="1128" spans="45:46" x14ac:dyDescent="0.25">
      <c r="AS1128" s="65"/>
      <c r="AT1128" s="65"/>
    </row>
    <row r="1129" spans="45:46" x14ac:dyDescent="0.25">
      <c r="AS1129" s="65"/>
      <c r="AT1129" s="65"/>
    </row>
    <row r="1130" spans="45:46" x14ac:dyDescent="0.25">
      <c r="AS1130" s="65"/>
      <c r="AT1130" s="65"/>
    </row>
    <row r="1131" spans="45:46" x14ac:dyDescent="0.25">
      <c r="AS1131" s="65"/>
      <c r="AT1131" s="65"/>
    </row>
    <row r="1132" spans="45:46" x14ac:dyDescent="0.25">
      <c r="AS1132" s="65"/>
      <c r="AT1132" s="65"/>
    </row>
    <row r="1133" spans="45:46" x14ac:dyDescent="0.25">
      <c r="AS1133" s="65"/>
      <c r="AT1133" s="65"/>
    </row>
    <row r="1134" spans="45:46" x14ac:dyDescent="0.25">
      <c r="AS1134" s="65"/>
      <c r="AT1134" s="65"/>
    </row>
    <row r="1135" spans="45:46" x14ac:dyDescent="0.25">
      <c r="AS1135" s="65"/>
      <c r="AT1135" s="65"/>
    </row>
    <row r="1136" spans="45:46" x14ac:dyDescent="0.25">
      <c r="AS1136" s="65"/>
      <c r="AT1136" s="65"/>
    </row>
    <row r="1137" spans="45:46" x14ac:dyDescent="0.25">
      <c r="AS1137" s="65"/>
      <c r="AT1137" s="65"/>
    </row>
    <row r="1138" spans="45:46" x14ac:dyDescent="0.25">
      <c r="AS1138" s="65"/>
      <c r="AT1138" s="65"/>
    </row>
    <row r="1139" spans="45:46" x14ac:dyDescent="0.25">
      <c r="AS1139" s="65"/>
      <c r="AT1139" s="65"/>
    </row>
    <row r="1140" spans="45:46" x14ac:dyDescent="0.25">
      <c r="AS1140" s="65"/>
      <c r="AT1140" s="65"/>
    </row>
    <row r="1141" spans="45:46" x14ac:dyDescent="0.25">
      <c r="AS1141" s="65"/>
      <c r="AT1141" s="65"/>
    </row>
    <row r="1142" spans="45:46" x14ac:dyDescent="0.25">
      <c r="AS1142" s="65"/>
      <c r="AT1142" s="65"/>
    </row>
    <row r="1143" spans="45:46" x14ac:dyDescent="0.25">
      <c r="AS1143" s="65"/>
      <c r="AT1143" s="65"/>
    </row>
    <row r="1144" spans="45:46" x14ac:dyDescent="0.25">
      <c r="AS1144" s="65"/>
      <c r="AT1144" s="65"/>
    </row>
    <row r="1145" spans="45:46" x14ac:dyDescent="0.25">
      <c r="AS1145" s="65"/>
      <c r="AT1145" s="65"/>
    </row>
    <row r="1146" spans="45:46" x14ac:dyDescent="0.25">
      <c r="AS1146" s="65"/>
      <c r="AT1146" s="65"/>
    </row>
    <row r="1147" spans="45:46" x14ac:dyDescent="0.25">
      <c r="AS1147" s="65"/>
      <c r="AT1147" s="65"/>
    </row>
    <row r="1148" spans="45:46" x14ac:dyDescent="0.25">
      <c r="AS1148" s="65"/>
      <c r="AT1148" s="65"/>
    </row>
    <row r="1149" spans="45:46" x14ac:dyDescent="0.25">
      <c r="AS1149" s="65"/>
      <c r="AT1149" s="65"/>
    </row>
    <row r="1150" spans="45:46" x14ac:dyDescent="0.25">
      <c r="AS1150" s="65"/>
      <c r="AT1150" s="65"/>
    </row>
    <row r="1151" spans="45:46" x14ac:dyDescent="0.25">
      <c r="AS1151" s="65"/>
      <c r="AT1151" s="65"/>
    </row>
    <row r="1152" spans="45:46" x14ac:dyDescent="0.25">
      <c r="AS1152" s="65"/>
      <c r="AT1152" s="65"/>
    </row>
    <row r="1153" spans="45:46" x14ac:dyDescent="0.25">
      <c r="AS1153" s="65"/>
      <c r="AT1153" s="65"/>
    </row>
    <row r="1154" spans="45:46" x14ac:dyDescent="0.25">
      <c r="AS1154" s="65"/>
      <c r="AT1154" s="65"/>
    </row>
    <row r="1155" spans="45:46" x14ac:dyDescent="0.25">
      <c r="AS1155" s="65"/>
      <c r="AT1155" s="65"/>
    </row>
    <row r="1156" spans="45:46" x14ac:dyDescent="0.25">
      <c r="AS1156" s="65"/>
      <c r="AT1156" s="65"/>
    </row>
    <row r="1157" spans="45:46" x14ac:dyDescent="0.25">
      <c r="AS1157" s="65"/>
      <c r="AT1157" s="65"/>
    </row>
    <row r="1158" spans="45:46" x14ac:dyDescent="0.25">
      <c r="AS1158" s="65"/>
      <c r="AT1158" s="65"/>
    </row>
    <row r="1159" spans="45:46" x14ac:dyDescent="0.25">
      <c r="AS1159" s="65"/>
      <c r="AT1159" s="65"/>
    </row>
    <row r="1160" spans="45:46" x14ac:dyDescent="0.25">
      <c r="AS1160" s="65"/>
      <c r="AT1160" s="65"/>
    </row>
    <row r="1161" spans="45:46" x14ac:dyDescent="0.25">
      <c r="AS1161" s="65"/>
      <c r="AT1161" s="65"/>
    </row>
    <row r="1162" spans="45:46" x14ac:dyDescent="0.25">
      <c r="AS1162" s="65"/>
      <c r="AT1162" s="65"/>
    </row>
    <row r="1163" spans="45:46" x14ac:dyDescent="0.25">
      <c r="AS1163" s="65"/>
      <c r="AT1163" s="65"/>
    </row>
    <row r="1164" spans="45:46" x14ac:dyDescent="0.25">
      <c r="AS1164" s="65"/>
      <c r="AT1164" s="65"/>
    </row>
    <row r="1165" spans="45:46" x14ac:dyDescent="0.25">
      <c r="AS1165" s="65"/>
      <c r="AT1165" s="65"/>
    </row>
    <row r="1166" spans="45:46" x14ac:dyDescent="0.25">
      <c r="AS1166" s="65"/>
      <c r="AT1166" s="65"/>
    </row>
    <row r="1167" spans="45:46" x14ac:dyDescent="0.25">
      <c r="AS1167" s="65"/>
      <c r="AT1167" s="65"/>
    </row>
    <row r="1168" spans="45:46" x14ac:dyDescent="0.25">
      <c r="AS1168" s="65"/>
      <c r="AT1168" s="65"/>
    </row>
    <row r="1169" spans="45:46" x14ac:dyDescent="0.25">
      <c r="AS1169" s="65"/>
      <c r="AT1169" s="65"/>
    </row>
    <row r="1170" spans="45:46" x14ac:dyDescent="0.25">
      <c r="AS1170" s="65"/>
      <c r="AT1170" s="65"/>
    </row>
    <row r="1171" spans="45:46" x14ac:dyDescent="0.25">
      <c r="AS1171" s="65"/>
      <c r="AT1171" s="65"/>
    </row>
    <row r="1172" spans="45:46" x14ac:dyDescent="0.25">
      <c r="AS1172" s="65"/>
      <c r="AT1172" s="65"/>
    </row>
    <row r="1173" spans="45:46" x14ac:dyDescent="0.25">
      <c r="AS1173" s="65"/>
      <c r="AT1173" s="65"/>
    </row>
    <row r="1174" spans="45:46" x14ac:dyDescent="0.25">
      <c r="AS1174" s="65"/>
      <c r="AT1174" s="65"/>
    </row>
    <row r="1175" spans="45:46" x14ac:dyDescent="0.25">
      <c r="AS1175" s="65"/>
      <c r="AT1175" s="65"/>
    </row>
    <row r="1176" spans="45:46" x14ac:dyDescent="0.25">
      <c r="AS1176" s="65"/>
      <c r="AT1176" s="65"/>
    </row>
    <row r="1177" spans="45:46" x14ac:dyDescent="0.25">
      <c r="AS1177" s="65"/>
      <c r="AT1177" s="65"/>
    </row>
    <row r="1178" spans="45:46" x14ac:dyDescent="0.25">
      <c r="AS1178" s="65"/>
      <c r="AT1178" s="65"/>
    </row>
    <row r="1179" spans="45:46" x14ac:dyDescent="0.25">
      <c r="AS1179" s="65"/>
      <c r="AT1179" s="65"/>
    </row>
    <row r="1180" spans="45:46" x14ac:dyDescent="0.25">
      <c r="AS1180" s="65"/>
      <c r="AT1180" s="65"/>
    </row>
    <row r="1181" spans="45:46" x14ac:dyDescent="0.25">
      <c r="AS1181" s="65"/>
      <c r="AT1181" s="65"/>
    </row>
    <row r="1182" spans="45:46" x14ac:dyDescent="0.25">
      <c r="AS1182" s="65"/>
      <c r="AT1182" s="65"/>
    </row>
    <row r="1183" spans="45:46" x14ac:dyDescent="0.25">
      <c r="AS1183" s="65"/>
      <c r="AT1183" s="65"/>
    </row>
    <row r="1184" spans="45:46" x14ac:dyDescent="0.25">
      <c r="AS1184" s="65"/>
      <c r="AT1184" s="65"/>
    </row>
    <row r="1185" spans="45:46" x14ac:dyDescent="0.25">
      <c r="AS1185" s="65"/>
      <c r="AT1185" s="65"/>
    </row>
    <row r="1186" spans="45:46" x14ac:dyDescent="0.25">
      <c r="AS1186" s="65"/>
      <c r="AT1186" s="65"/>
    </row>
    <row r="1187" spans="45:46" x14ac:dyDescent="0.25">
      <c r="AS1187" s="65"/>
      <c r="AT1187" s="65"/>
    </row>
    <row r="1188" spans="45:46" x14ac:dyDescent="0.25">
      <c r="AS1188" s="65"/>
      <c r="AT1188" s="65"/>
    </row>
    <row r="1189" spans="45:46" x14ac:dyDescent="0.25">
      <c r="AS1189" s="65"/>
      <c r="AT1189" s="65"/>
    </row>
    <row r="1190" spans="45:46" x14ac:dyDescent="0.25">
      <c r="AS1190" s="65"/>
      <c r="AT1190" s="65"/>
    </row>
    <row r="1191" spans="45:46" x14ac:dyDescent="0.25">
      <c r="AS1191" s="65"/>
      <c r="AT1191" s="65"/>
    </row>
    <row r="1192" spans="45:46" x14ac:dyDescent="0.25">
      <c r="AS1192" s="65"/>
      <c r="AT1192" s="65"/>
    </row>
    <row r="1193" spans="45:46" x14ac:dyDescent="0.25">
      <c r="AS1193" s="65"/>
      <c r="AT1193" s="65"/>
    </row>
    <row r="1194" spans="45:46" x14ac:dyDescent="0.25">
      <c r="AS1194" s="65"/>
      <c r="AT1194" s="65"/>
    </row>
    <row r="1195" spans="45:46" x14ac:dyDescent="0.25">
      <c r="AS1195" s="65"/>
      <c r="AT1195" s="65"/>
    </row>
    <row r="1196" spans="45:46" x14ac:dyDescent="0.25">
      <c r="AS1196" s="65"/>
      <c r="AT1196" s="65"/>
    </row>
    <row r="1197" spans="45:46" x14ac:dyDescent="0.25">
      <c r="AS1197" s="65"/>
      <c r="AT1197" s="65"/>
    </row>
    <row r="1198" spans="45:46" x14ac:dyDescent="0.25">
      <c r="AS1198" s="65"/>
      <c r="AT1198" s="65"/>
    </row>
    <row r="1199" spans="45:46" x14ac:dyDescent="0.25">
      <c r="AS1199" s="65"/>
      <c r="AT1199" s="65"/>
    </row>
    <row r="1200" spans="45:46" x14ac:dyDescent="0.25">
      <c r="AS1200" s="65"/>
      <c r="AT1200" s="65"/>
    </row>
    <row r="1201" spans="45:46" x14ac:dyDescent="0.25">
      <c r="AS1201" s="65"/>
      <c r="AT1201" s="65"/>
    </row>
    <row r="1202" spans="45:46" x14ac:dyDescent="0.25">
      <c r="AS1202" s="65"/>
      <c r="AT1202" s="65"/>
    </row>
    <row r="1203" spans="45:46" x14ac:dyDescent="0.25">
      <c r="AS1203" s="65"/>
      <c r="AT1203" s="65"/>
    </row>
    <row r="1204" spans="45:46" x14ac:dyDescent="0.25">
      <c r="AS1204" s="65"/>
      <c r="AT1204" s="65"/>
    </row>
    <row r="1205" spans="45:46" x14ac:dyDescent="0.25">
      <c r="AS1205" s="65"/>
      <c r="AT1205" s="65"/>
    </row>
    <row r="1206" spans="45:46" x14ac:dyDescent="0.25">
      <c r="AS1206" s="65"/>
      <c r="AT1206" s="65"/>
    </row>
    <row r="1207" spans="45:46" x14ac:dyDescent="0.25">
      <c r="AS1207" s="65"/>
      <c r="AT1207" s="65"/>
    </row>
    <row r="1208" spans="45:46" x14ac:dyDescent="0.25">
      <c r="AS1208" s="65"/>
      <c r="AT1208" s="65"/>
    </row>
    <row r="1209" spans="45:46" x14ac:dyDescent="0.25">
      <c r="AS1209" s="65"/>
      <c r="AT1209" s="65"/>
    </row>
    <row r="1210" spans="45:46" x14ac:dyDescent="0.25">
      <c r="AS1210" s="65"/>
      <c r="AT1210" s="65"/>
    </row>
    <row r="1211" spans="45:46" x14ac:dyDescent="0.25">
      <c r="AS1211" s="65"/>
      <c r="AT1211" s="65"/>
    </row>
    <row r="1212" spans="45:46" x14ac:dyDescent="0.25">
      <c r="AS1212" s="65"/>
      <c r="AT1212" s="65"/>
    </row>
    <row r="1213" spans="45:46" x14ac:dyDescent="0.25">
      <c r="AS1213" s="65"/>
      <c r="AT1213" s="65"/>
    </row>
    <row r="1214" spans="45:46" x14ac:dyDescent="0.25">
      <c r="AS1214" s="65"/>
      <c r="AT1214" s="65"/>
    </row>
    <row r="1215" spans="45:46" x14ac:dyDescent="0.25">
      <c r="AS1215" s="65"/>
      <c r="AT1215" s="65"/>
    </row>
    <row r="1216" spans="45:46" x14ac:dyDescent="0.25">
      <c r="AS1216" s="65"/>
      <c r="AT1216" s="65"/>
    </row>
    <row r="1217" spans="45:46" x14ac:dyDescent="0.25">
      <c r="AS1217" s="65"/>
      <c r="AT1217" s="65"/>
    </row>
    <row r="1218" spans="45:46" x14ac:dyDescent="0.25">
      <c r="AS1218" s="65"/>
      <c r="AT1218" s="65"/>
    </row>
    <row r="1219" spans="45:46" x14ac:dyDescent="0.25">
      <c r="AS1219" s="65"/>
      <c r="AT1219" s="65"/>
    </row>
    <row r="1220" spans="45:46" x14ac:dyDescent="0.25">
      <c r="AS1220" s="65"/>
      <c r="AT1220" s="65"/>
    </row>
    <row r="1221" spans="45:46" x14ac:dyDescent="0.25">
      <c r="AS1221" s="65"/>
      <c r="AT1221" s="65"/>
    </row>
    <row r="1222" spans="45:46" x14ac:dyDescent="0.25">
      <c r="AS1222" s="65"/>
      <c r="AT1222" s="65"/>
    </row>
    <row r="1223" spans="45:46" x14ac:dyDescent="0.25">
      <c r="AS1223" s="65"/>
      <c r="AT1223" s="65"/>
    </row>
    <row r="1224" spans="45:46" x14ac:dyDescent="0.25">
      <c r="AS1224" s="65"/>
      <c r="AT1224" s="65"/>
    </row>
    <row r="1225" spans="45:46" x14ac:dyDescent="0.25">
      <c r="AS1225" s="65"/>
      <c r="AT1225" s="65"/>
    </row>
    <row r="1226" spans="45:46" x14ac:dyDescent="0.25">
      <c r="AS1226" s="65"/>
      <c r="AT1226" s="65"/>
    </row>
    <row r="1227" spans="45:46" x14ac:dyDescent="0.25">
      <c r="AS1227" s="65"/>
      <c r="AT1227" s="65"/>
    </row>
    <row r="1228" spans="45:46" x14ac:dyDescent="0.25">
      <c r="AS1228" s="65"/>
      <c r="AT1228" s="65"/>
    </row>
    <row r="1229" spans="45:46" x14ac:dyDescent="0.25">
      <c r="AS1229" s="65"/>
      <c r="AT1229" s="65"/>
    </row>
    <row r="1230" spans="45:46" x14ac:dyDescent="0.25">
      <c r="AS1230" s="65"/>
      <c r="AT1230" s="65"/>
    </row>
    <row r="1231" spans="45:46" x14ac:dyDescent="0.25">
      <c r="AS1231" s="65"/>
      <c r="AT1231" s="65"/>
    </row>
    <row r="1232" spans="45:46" x14ac:dyDescent="0.25">
      <c r="AS1232" s="65"/>
      <c r="AT1232" s="65"/>
    </row>
    <row r="1233" spans="45:46" x14ac:dyDescent="0.25">
      <c r="AS1233" s="65"/>
      <c r="AT1233" s="65"/>
    </row>
    <row r="1234" spans="45:46" x14ac:dyDescent="0.25">
      <c r="AS1234" s="65"/>
      <c r="AT1234" s="65"/>
    </row>
    <row r="1235" spans="45:46" x14ac:dyDescent="0.25">
      <c r="AS1235" s="65"/>
      <c r="AT1235" s="65"/>
    </row>
    <row r="1236" spans="45:46" x14ac:dyDescent="0.25">
      <c r="AS1236" s="65"/>
      <c r="AT1236" s="65"/>
    </row>
    <row r="1237" spans="45:46" x14ac:dyDescent="0.25">
      <c r="AS1237" s="65"/>
      <c r="AT1237" s="65"/>
    </row>
    <row r="1238" spans="45:46" x14ac:dyDescent="0.25">
      <c r="AS1238" s="65"/>
      <c r="AT1238" s="65"/>
    </row>
    <row r="1239" spans="45:46" x14ac:dyDescent="0.25">
      <c r="AS1239" s="65"/>
      <c r="AT1239" s="65"/>
    </row>
    <row r="1240" spans="45:46" x14ac:dyDescent="0.25">
      <c r="AS1240" s="65"/>
      <c r="AT1240" s="65"/>
    </row>
    <row r="1241" spans="45:46" x14ac:dyDescent="0.25">
      <c r="AS1241" s="65"/>
      <c r="AT1241" s="65"/>
    </row>
    <row r="1242" spans="45:46" x14ac:dyDescent="0.25">
      <c r="AS1242" s="65"/>
      <c r="AT1242" s="65"/>
    </row>
    <row r="1243" spans="45:46" x14ac:dyDescent="0.25">
      <c r="AS1243" s="65"/>
      <c r="AT1243" s="65"/>
    </row>
    <row r="1244" spans="45:46" x14ac:dyDescent="0.25">
      <c r="AS1244" s="65"/>
      <c r="AT1244" s="65"/>
    </row>
    <row r="1245" spans="45:46" x14ac:dyDescent="0.25">
      <c r="AS1245" s="65"/>
      <c r="AT1245" s="65"/>
    </row>
    <row r="1246" spans="45:46" x14ac:dyDescent="0.25">
      <c r="AS1246" s="65"/>
      <c r="AT1246" s="65"/>
    </row>
    <row r="1247" spans="45:46" x14ac:dyDescent="0.25">
      <c r="AS1247" s="65"/>
      <c r="AT1247" s="65"/>
    </row>
    <row r="1248" spans="45:46" x14ac:dyDescent="0.25">
      <c r="AS1248" s="65"/>
      <c r="AT1248" s="65"/>
    </row>
    <row r="1249" spans="45:46" x14ac:dyDescent="0.25">
      <c r="AS1249" s="65"/>
      <c r="AT1249" s="65"/>
    </row>
    <row r="1250" spans="45:46" x14ac:dyDescent="0.25">
      <c r="AS1250" s="65"/>
      <c r="AT1250" s="65"/>
    </row>
    <row r="1251" spans="45:46" x14ac:dyDescent="0.25">
      <c r="AS1251" s="65"/>
      <c r="AT1251" s="65"/>
    </row>
    <row r="1252" spans="45:46" x14ac:dyDescent="0.25">
      <c r="AS1252" s="65"/>
      <c r="AT1252" s="65"/>
    </row>
    <row r="1253" spans="45:46" x14ac:dyDescent="0.25">
      <c r="AS1253" s="65"/>
      <c r="AT1253" s="65"/>
    </row>
    <row r="1254" spans="45:46" x14ac:dyDescent="0.25">
      <c r="AS1254" s="65"/>
      <c r="AT1254" s="65"/>
    </row>
    <row r="1255" spans="45:46" x14ac:dyDescent="0.25">
      <c r="AS1255" s="65"/>
      <c r="AT1255" s="65"/>
    </row>
    <row r="1256" spans="45:46" x14ac:dyDescent="0.25">
      <c r="AS1256" s="65"/>
      <c r="AT1256" s="65"/>
    </row>
    <row r="1257" spans="45:46" x14ac:dyDescent="0.25">
      <c r="AS1257" s="65"/>
      <c r="AT1257" s="65"/>
    </row>
    <row r="1258" spans="45:46" x14ac:dyDescent="0.25">
      <c r="AS1258" s="65"/>
      <c r="AT1258" s="65"/>
    </row>
    <row r="1259" spans="45:46" x14ac:dyDescent="0.25">
      <c r="AS1259" s="65"/>
      <c r="AT1259" s="65"/>
    </row>
    <row r="1260" spans="45:46" x14ac:dyDescent="0.25">
      <c r="AS1260" s="65"/>
      <c r="AT1260" s="65"/>
    </row>
    <row r="1261" spans="45:46" x14ac:dyDescent="0.25">
      <c r="AS1261" s="65"/>
      <c r="AT1261" s="65"/>
    </row>
    <row r="1262" spans="45:46" x14ac:dyDescent="0.25">
      <c r="AS1262" s="65"/>
      <c r="AT1262" s="65"/>
    </row>
    <row r="1263" spans="45:46" x14ac:dyDescent="0.25">
      <c r="AS1263" s="65"/>
      <c r="AT1263" s="65"/>
    </row>
    <row r="1264" spans="45:46" x14ac:dyDescent="0.25">
      <c r="AS1264" s="65"/>
      <c r="AT1264" s="65"/>
    </row>
    <row r="1265" spans="45:46" x14ac:dyDescent="0.25">
      <c r="AS1265" s="65"/>
      <c r="AT1265" s="65"/>
    </row>
    <row r="1266" spans="45:46" x14ac:dyDescent="0.25">
      <c r="AS1266" s="65"/>
      <c r="AT1266" s="65"/>
    </row>
    <row r="1267" spans="45:46" x14ac:dyDescent="0.25">
      <c r="AS1267" s="65"/>
      <c r="AT1267" s="65"/>
    </row>
    <row r="1268" spans="45:46" x14ac:dyDescent="0.25">
      <c r="AS1268" s="65"/>
      <c r="AT1268" s="65"/>
    </row>
    <row r="1269" spans="45:46" x14ac:dyDescent="0.25">
      <c r="AS1269" s="65"/>
      <c r="AT1269" s="65"/>
    </row>
    <row r="1270" spans="45:46" x14ac:dyDescent="0.25">
      <c r="AS1270" s="65"/>
      <c r="AT1270" s="65"/>
    </row>
    <row r="1271" spans="45:46" x14ac:dyDescent="0.25">
      <c r="AS1271" s="65"/>
      <c r="AT1271" s="65"/>
    </row>
    <row r="1272" spans="45:46" x14ac:dyDescent="0.25">
      <c r="AS1272" s="65"/>
      <c r="AT1272" s="65"/>
    </row>
    <row r="1273" spans="45:46" x14ac:dyDescent="0.25">
      <c r="AS1273" s="65"/>
      <c r="AT1273" s="65"/>
    </row>
    <row r="1274" spans="45:46" x14ac:dyDescent="0.25">
      <c r="AS1274" s="65"/>
      <c r="AT1274" s="65"/>
    </row>
    <row r="1275" spans="45:46" x14ac:dyDescent="0.25">
      <c r="AS1275" s="65"/>
      <c r="AT1275" s="65"/>
    </row>
    <row r="1276" spans="45:46" x14ac:dyDescent="0.25">
      <c r="AS1276" s="65"/>
      <c r="AT1276" s="65"/>
    </row>
    <row r="1277" spans="45:46" x14ac:dyDescent="0.25">
      <c r="AS1277" s="65"/>
      <c r="AT1277" s="65"/>
    </row>
    <row r="1278" spans="45:46" x14ac:dyDescent="0.25">
      <c r="AS1278" s="65"/>
      <c r="AT1278" s="65"/>
    </row>
    <row r="1279" spans="45:46" x14ac:dyDescent="0.25">
      <c r="AS1279" s="65"/>
      <c r="AT1279" s="65"/>
    </row>
    <row r="1280" spans="45:46" x14ac:dyDescent="0.25">
      <c r="AS1280" s="65"/>
      <c r="AT1280" s="65"/>
    </row>
    <row r="1281" spans="45:46" x14ac:dyDescent="0.25">
      <c r="AS1281" s="65"/>
      <c r="AT1281" s="65"/>
    </row>
    <row r="1282" spans="45:46" x14ac:dyDescent="0.25">
      <c r="AS1282" s="65"/>
      <c r="AT1282" s="65"/>
    </row>
    <row r="1283" spans="45:46" x14ac:dyDescent="0.25">
      <c r="AS1283" s="65"/>
      <c r="AT1283" s="65"/>
    </row>
    <row r="1284" spans="45:46" x14ac:dyDescent="0.25">
      <c r="AS1284" s="65"/>
      <c r="AT1284" s="65"/>
    </row>
    <row r="1285" spans="45:46" x14ac:dyDescent="0.25">
      <c r="AS1285" s="65"/>
      <c r="AT1285" s="65"/>
    </row>
    <row r="1286" spans="45:46" x14ac:dyDescent="0.25">
      <c r="AS1286" s="65"/>
      <c r="AT1286" s="65"/>
    </row>
    <row r="1287" spans="45:46" x14ac:dyDescent="0.25">
      <c r="AS1287" s="65"/>
      <c r="AT1287" s="65"/>
    </row>
    <row r="1288" spans="45:46" x14ac:dyDescent="0.25">
      <c r="AS1288" s="65"/>
      <c r="AT1288" s="65"/>
    </row>
    <row r="1289" spans="45:46" x14ac:dyDescent="0.25">
      <c r="AS1289" s="65"/>
      <c r="AT1289" s="65"/>
    </row>
    <row r="1290" spans="45:46" x14ac:dyDescent="0.25">
      <c r="AS1290" s="65"/>
      <c r="AT1290" s="65"/>
    </row>
    <row r="1291" spans="45:46" x14ac:dyDescent="0.25">
      <c r="AS1291" s="65"/>
      <c r="AT1291" s="65"/>
    </row>
    <row r="1292" spans="45:46" x14ac:dyDescent="0.25">
      <c r="AS1292" s="65"/>
      <c r="AT1292" s="65"/>
    </row>
    <row r="1293" spans="45:46" x14ac:dyDescent="0.25">
      <c r="AS1293" s="65"/>
      <c r="AT1293" s="65"/>
    </row>
    <row r="1294" spans="45:46" x14ac:dyDescent="0.25">
      <c r="AS1294" s="65"/>
      <c r="AT1294" s="65"/>
    </row>
    <row r="1295" spans="45:46" x14ac:dyDescent="0.25">
      <c r="AS1295" s="65"/>
      <c r="AT1295" s="65"/>
    </row>
    <row r="1296" spans="45:46" x14ac:dyDescent="0.25">
      <c r="AS1296" s="65"/>
      <c r="AT1296" s="65"/>
    </row>
    <row r="1297" spans="45:46" x14ac:dyDescent="0.25">
      <c r="AS1297" s="65"/>
      <c r="AT1297" s="65"/>
    </row>
    <row r="1298" spans="45:46" x14ac:dyDescent="0.25">
      <c r="AS1298" s="65"/>
      <c r="AT1298" s="65"/>
    </row>
    <row r="1299" spans="45:46" x14ac:dyDescent="0.25">
      <c r="AS1299" s="65"/>
      <c r="AT1299" s="65"/>
    </row>
    <row r="1300" spans="45:46" x14ac:dyDescent="0.25">
      <c r="AS1300" s="65"/>
      <c r="AT1300" s="65"/>
    </row>
    <row r="1301" spans="45:46" x14ac:dyDescent="0.25">
      <c r="AS1301" s="65"/>
      <c r="AT1301" s="65"/>
    </row>
    <row r="1302" spans="45:46" x14ac:dyDescent="0.25">
      <c r="AS1302" s="65"/>
      <c r="AT1302" s="65"/>
    </row>
    <row r="1303" spans="45:46" x14ac:dyDescent="0.25">
      <c r="AS1303" s="65"/>
      <c r="AT1303" s="65"/>
    </row>
    <row r="1304" spans="45:46" x14ac:dyDescent="0.25">
      <c r="AS1304" s="65"/>
      <c r="AT1304" s="65"/>
    </row>
    <row r="1305" spans="45:46" x14ac:dyDescent="0.25">
      <c r="AS1305" s="65"/>
      <c r="AT1305" s="65"/>
    </row>
    <row r="1306" spans="45:46" x14ac:dyDescent="0.25">
      <c r="AS1306" s="65"/>
      <c r="AT1306" s="65"/>
    </row>
    <row r="1307" spans="45:46" x14ac:dyDescent="0.25">
      <c r="AS1307" s="65"/>
      <c r="AT1307" s="65"/>
    </row>
    <row r="1308" spans="45:46" x14ac:dyDescent="0.25">
      <c r="AS1308" s="65"/>
      <c r="AT1308" s="65"/>
    </row>
    <row r="1309" spans="45:46" x14ac:dyDescent="0.25">
      <c r="AS1309" s="65"/>
      <c r="AT1309" s="65"/>
    </row>
    <row r="1310" spans="45:46" x14ac:dyDescent="0.25">
      <c r="AS1310" s="65"/>
      <c r="AT1310" s="65"/>
    </row>
    <row r="1311" spans="45:46" x14ac:dyDescent="0.25">
      <c r="AS1311" s="65"/>
      <c r="AT1311" s="65"/>
    </row>
    <row r="1312" spans="45:46" x14ac:dyDescent="0.25">
      <c r="AS1312" s="65"/>
      <c r="AT1312" s="65"/>
    </row>
    <row r="1313" spans="45:46" x14ac:dyDescent="0.25">
      <c r="AS1313" s="65"/>
      <c r="AT1313" s="65"/>
    </row>
    <row r="1314" spans="45:46" x14ac:dyDescent="0.25">
      <c r="AS1314" s="65"/>
      <c r="AT1314" s="65"/>
    </row>
    <row r="1315" spans="45:46" x14ac:dyDescent="0.25">
      <c r="AS1315" s="65"/>
      <c r="AT1315" s="65"/>
    </row>
    <row r="1316" spans="45:46" x14ac:dyDescent="0.25">
      <c r="AS1316" s="65"/>
      <c r="AT1316" s="65"/>
    </row>
    <row r="1317" spans="45:46" x14ac:dyDescent="0.25">
      <c r="AS1317" s="65"/>
      <c r="AT1317" s="65"/>
    </row>
    <row r="1318" spans="45:46" x14ac:dyDescent="0.25">
      <c r="AS1318" s="65"/>
      <c r="AT1318" s="65"/>
    </row>
    <row r="1319" spans="45:46" x14ac:dyDescent="0.25">
      <c r="AS1319" s="65"/>
      <c r="AT1319" s="65"/>
    </row>
    <row r="1320" spans="45:46" x14ac:dyDescent="0.25">
      <c r="AS1320" s="65"/>
      <c r="AT1320" s="65"/>
    </row>
    <row r="1321" spans="45:46" x14ac:dyDescent="0.25">
      <c r="AS1321" s="65"/>
      <c r="AT1321" s="65"/>
    </row>
    <row r="1322" spans="45:46" x14ac:dyDescent="0.25">
      <c r="AS1322" s="65"/>
      <c r="AT1322" s="65"/>
    </row>
    <row r="1323" spans="45:46" x14ac:dyDescent="0.25">
      <c r="AS1323" s="65"/>
      <c r="AT1323" s="65"/>
    </row>
    <row r="1324" spans="45:46" x14ac:dyDescent="0.25">
      <c r="AS1324" s="65"/>
      <c r="AT1324" s="65"/>
    </row>
    <row r="1325" spans="45:46" x14ac:dyDescent="0.25">
      <c r="AS1325" s="65"/>
      <c r="AT1325" s="65"/>
    </row>
    <row r="1326" spans="45:46" x14ac:dyDescent="0.25">
      <c r="AS1326" s="65"/>
      <c r="AT1326" s="65"/>
    </row>
    <row r="1327" spans="45:46" x14ac:dyDescent="0.25">
      <c r="AS1327" s="65"/>
      <c r="AT1327" s="65"/>
    </row>
    <row r="1328" spans="45:46" x14ac:dyDescent="0.25">
      <c r="AS1328" s="65"/>
      <c r="AT1328" s="65"/>
    </row>
    <row r="1329" spans="45:46" x14ac:dyDescent="0.25">
      <c r="AS1329" s="65"/>
      <c r="AT1329" s="65"/>
    </row>
    <row r="1330" spans="45:46" x14ac:dyDescent="0.25">
      <c r="AS1330" s="65"/>
      <c r="AT1330" s="65"/>
    </row>
    <row r="1331" spans="45:46" x14ac:dyDescent="0.25">
      <c r="AS1331" s="65"/>
      <c r="AT1331" s="65"/>
    </row>
    <row r="1332" spans="45:46" x14ac:dyDescent="0.25">
      <c r="AS1332" s="65"/>
      <c r="AT1332" s="65"/>
    </row>
    <row r="1333" spans="45:46" x14ac:dyDescent="0.25">
      <c r="AS1333" s="65"/>
      <c r="AT1333" s="65"/>
    </row>
    <row r="1334" spans="45:46" x14ac:dyDescent="0.25">
      <c r="AS1334" s="65"/>
      <c r="AT1334" s="65"/>
    </row>
    <row r="1335" spans="45:46" x14ac:dyDescent="0.25">
      <c r="AS1335" s="65"/>
      <c r="AT1335" s="65"/>
    </row>
    <row r="1336" spans="45:46" x14ac:dyDescent="0.25">
      <c r="AS1336" s="65"/>
      <c r="AT1336" s="65"/>
    </row>
    <row r="1337" spans="45:46" x14ac:dyDescent="0.25">
      <c r="AS1337" s="65"/>
      <c r="AT1337" s="65"/>
    </row>
    <row r="1338" spans="45:46" x14ac:dyDescent="0.25">
      <c r="AS1338" s="65"/>
      <c r="AT1338" s="65"/>
    </row>
    <row r="1339" spans="45:46" x14ac:dyDescent="0.25">
      <c r="AS1339" s="65"/>
      <c r="AT1339" s="65"/>
    </row>
    <row r="1340" spans="45:46" x14ac:dyDescent="0.25">
      <c r="AS1340" s="65"/>
      <c r="AT1340" s="65"/>
    </row>
    <row r="1341" spans="45:46" x14ac:dyDescent="0.25">
      <c r="AS1341" s="65"/>
      <c r="AT1341" s="65"/>
    </row>
    <row r="1342" spans="45:46" x14ac:dyDescent="0.25">
      <c r="AS1342" s="65"/>
      <c r="AT1342" s="65"/>
    </row>
    <row r="1343" spans="45:46" x14ac:dyDescent="0.25">
      <c r="AS1343" s="65"/>
      <c r="AT1343" s="65"/>
    </row>
    <row r="1344" spans="45:46" x14ac:dyDescent="0.25">
      <c r="AS1344" s="65"/>
      <c r="AT1344" s="65"/>
    </row>
    <row r="1345" spans="45:46" x14ac:dyDescent="0.25">
      <c r="AS1345" s="65"/>
      <c r="AT1345" s="65"/>
    </row>
    <row r="1346" spans="45:46" x14ac:dyDescent="0.25">
      <c r="AS1346" s="65"/>
      <c r="AT1346" s="65"/>
    </row>
    <row r="1347" spans="45:46" x14ac:dyDescent="0.25">
      <c r="AS1347" s="65"/>
      <c r="AT1347" s="65"/>
    </row>
    <row r="1348" spans="45:46" x14ac:dyDescent="0.25">
      <c r="AS1348" s="65"/>
      <c r="AT1348" s="65"/>
    </row>
    <row r="1349" spans="45:46" x14ac:dyDescent="0.25">
      <c r="AS1349" s="65"/>
      <c r="AT1349" s="65"/>
    </row>
    <row r="1350" spans="45:46" x14ac:dyDescent="0.25">
      <c r="AS1350" s="65"/>
      <c r="AT1350" s="65"/>
    </row>
    <row r="1351" spans="45:46" x14ac:dyDescent="0.25">
      <c r="AS1351" s="65"/>
      <c r="AT1351" s="65"/>
    </row>
    <row r="1352" spans="45:46" x14ac:dyDescent="0.25">
      <c r="AS1352" s="65"/>
      <c r="AT1352" s="65"/>
    </row>
    <row r="1353" spans="45:46" x14ac:dyDescent="0.25">
      <c r="AS1353" s="65"/>
      <c r="AT1353" s="65"/>
    </row>
    <row r="1354" spans="45:46" x14ac:dyDescent="0.25">
      <c r="AS1354" s="65"/>
      <c r="AT1354" s="65"/>
    </row>
    <row r="1355" spans="45:46" x14ac:dyDescent="0.25">
      <c r="AS1355" s="65"/>
      <c r="AT1355" s="65"/>
    </row>
    <row r="1356" spans="45:46" x14ac:dyDescent="0.25">
      <c r="AS1356" s="65"/>
      <c r="AT1356" s="65"/>
    </row>
    <row r="1357" spans="45:46" x14ac:dyDescent="0.25">
      <c r="AS1357" s="65"/>
      <c r="AT1357" s="65"/>
    </row>
    <row r="1358" spans="45:46" x14ac:dyDescent="0.25">
      <c r="AS1358" s="65"/>
      <c r="AT1358" s="65"/>
    </row>
    <row r="1359" spans="45:46" x14ac:dyDescent="0.25">
      <c r="AS1359" s="65"/>
      <c r="AT1359" s="65"/>
    </row>
    <row r="1360" spans="45:46" x14ac:dyDescent="0.25">
      <c r="AS1360" s="65"/>
      <c r="AT1360" s="65"/>
    </row>
    <row r="1361" spans="45:46" x14ac:dyDescent="0.25">
      <c r="AS1361" s="65"/>
      <c r="AT1361" s="65"/>
    </row>
    <row r="1362" spans="45:46" x14ac:dyDescent="0.25">
      <c r="AS1362" s="65"/>
      <c r="AT1362" s="65"/>
    </row>
    <row r="1363" spans="45:46" x14ac:dyDescent="0.25">
      <c r="AS1363" s="65"/>
      <c r="AT1363" s="65"/>
    </row>
    <row r="1364" spans="45:46" x14ac:dyDescent="0.25">
      <c r="AS1364" s="65"/>
      <c r="AT1364" s="65"/>
    </row>
    <row r="1365" spans="45:46" x14ac:dyDescent="0.25">
      <c r="AS1365" s="65"/>
      <c r="AT1365" s="65"/>
    </row>
    <row r="1366" spans="45:46" x14ac:dyDescent="0.25">
      <c r="AS1366" s="65"/>
      <c r="AT1366" s="65"/>
    </row>
    <row r="1367" spans="45:46" x14ac:dyDescent="0.25">
      <c r="AS1367" s="65"/>
      <c r="AT1367" s="65"/>
    </row>
    <row r="1368" spans="45:46" x14ac:dyDescent="0.25">
      <c r="AS1368" s="65"/>
      <c r="AT1368" s="65"/>
    </row>
    <row r="1369" spans="45:46" x14ac:dyDescent="0.25">
      <c r="AS1369" s="65"/>
      <c r="AT1369" s="65"/>
    </row>
    <row r="1370" spans="45:46" x14ac:dyDescent="0.25">
      <c r="AS1370" s="65"/>
      <c r="AT1370" s="65"/>
    </row>
    <row r="1371" spans="45:46" x14ac:dyDescent="0.25">
      <c r="AS1371" s="65"/>
      <c r="AT1371" s="65"/>
    </row>
    <row r="1372" spans="45:46" x14ac:dyDescent="0.25">
      <c r="AS1372" s="65"/>
      <c r="AT1372" s="65"/>
    </row>
    <row r="1373" spans="45:46" x14ac:dyDescent="0.25">
      <c r="AS1373" s="65"/>
      <c r="AT1373" s="65"/>
    </row>
    <row r="1374" spans="45:46" x14ac:dyDescent="0.25">
      <c r="AS1374" s="65"/>
      <c r="AT1374" s="65"/>
    </row>
    <row r="1375" spans="45:46" x14ac:dyDescent="0.25">
      <c r="AS1375" s="65"/>
      <c r="AT1375" s="65"/>
    </row>
    <row r="1376" spans="45:46" x14ac:dyDescent="0.25">
      <c r="AS1376" s="65"/>
      <c r="AT1376" s="65"/>
    </row>
    <row r="1377" spans="45:46" x14ac:dyDescent="0.25">
      <c r="AS1377" s="65"/>
      <c r="AT1377" s="65"/>
    </row>
    <row r="1378" spans="45:46" x14ac:dyDescent="0.25">
      <c r="AS1378" s="65"/>
      <c r="AT1378" s="65"/>
    </row>
    <row r="1379" spans="45:46" x14ac:dyDescent="0.25">
      <c r="AS1379" s="65"/>
      <c r="AT1379" s="65"/>
    </row>
    <row r="1380" spans="45:46" x14ac:dyDescent="0.25">
      <c r="AS1380" s="65"/>
      <c r="AT1380" s="65"/>
    </row>
    <row r="1381" spans="45:46" x14ac:dyDescent="0.25">
      <c r="AS1381" s="65"/>
      <c r="AT1381" s="65"/>
    </row>
    <row r="1382" spans="45:46" x14ac:dyDescent="0.25">
      <c r="AS1382" s="65"/>
      <c r="AT1382" s="65"/>
    </row>
    <row r="1383" spans="45:46" x14ac:dyDescent="0.25">
      <c r="AS1383" s="65"/>
      <c r="AT1383" s="65"/>
    </row>
    <row r="1384" spans="45:46" x14ac:dyDescent="0.25">
      <c r="AS1384" s="65"/>
      <c r="AT1384" s="65"/>
    </row>
    <row r="1385" spans="45:46" x14ac:dyDescent="0.25">
      <c r="AS1385" s="65"/>
      <c r="AT1385" s="65"/>
    </row>
    <row r="1386" spans="45:46" x14ac:dyDescent="0.25">
      <c r="AS1386" s="65"/>
      <c r="AT1386" s="65"/>
    </row>
    <row r="1387" spans="45:46" x14ac:dyDescent="0.25">
      <c r="AS1387" s="65"/>
      <c r="AT1387" s="65"/>
    </row>
    <row r="1388" spans="45:46" x14ac:dyDescent="0.25">
      <c r="AS1388" s="65"/>
      <c r="AT1388" s="65"/>
    </row>
    <row r="1389" spans="45:46" x14ac:dyDescent="0.25">
      <c r="AS1389" s="65"/>
      <c r="AT1389" s="65"/>
    </row>
    <row r="1390" spans="45:46" x14ac:dyDescent="0.25">
      <c r="AS1390" s="65"/>
      <c r="AT1390" s="65"/>
    </row>
    <row r="1391" spans="45:46" x14ac:dyDescent="0.25">
      <c r="AS1391" s="65"/>
      <c r="AT1391" s="65"/>
    </row>
    <row r="1392" spans="45:46" x14ac:dyDescent="0.25">
      <c r="AS1392" s="65"/>
      <c r="AT1392" s="65"/>
    </row>
    <row r="1393" spans="45:46" x14ac:dyDescent="0.25">
      <c r="AS1393" s="65"/>
      <c r="AT1393" s="65"/>
    </row>
    <row r="1394" spans="45:46" x14ac:dyDescent="0.25">
      <c r="AS1394" s="65"/>
      <c r="AT1394" s="65"/>
    </row>
    <row r="1395" spans="45:46" x14ac:dyDescent="0.25">
      <c r="AS1395" s="65"/>
      <c r="AT1395" s="65"/>
    </row>
    <row r="1396" spans="45:46" x14ac:dyDescent="0.25">
      <c r="AS1396" s="65"/>
      <c r="AT1396" s="65"/>
    </row>
    <row r="1397" spans="45:46" x14ac:dyDescent="0.25">
      <c r="AS1397" s="65"/>
      <c r="AT1397" s="65"/>
    </row>
    <row r="1398" spans="45:46" x14ac:dyDescent="0.25">
      <c r="AS1398" s="65"/>
      <c r="AT1398" s="65"/>
    </row>
    <row r="1399" spans="45:46" x14ac:dyDescent="0.25">
      <c r="AS1399" s="65"/>
      <c r="AT1399" s="65"/>
    </row>
    <row r="1400" spans="45:46" x14ac:dyDescent="0.25">
      <c r="AS1400" s="65"/>
      <c r="AT1400" s="65"/>
    </row>
    <row r="1401" spans="45:46" x14ac:dyDescent="0.25">
      <c r="AS1401" s="65"/>
      <c r="AT1401" s="65"/>
    </row>
    <row r="1402" spans="45:46" x14ac:dyDescent="0.25">
      <c r="AS1402" s="65"/>
      <c r="AT1402" s="65"/>
    </row>
    <row r="1403" spans="45:46" x14ac:dyDescent="0.25">
      <c r="AS1403" s="65"/>
      <c r="AT1403" s="65"/>
    </row>
    <row r="1404" spans="45:46" x14ac:dyDescent="0.25">
      <c r="AS1404" s="65"/>
      <c r="AT1404" s="65"/>
    </row>
    <row r="1405" spans="45:46" x14ac:dyDescent="0.25">
      <c r="AS1405" s="65"/>
      <c r="AT1405" s="65"/>
    </row>
    <row r="1406" spans="45:46" x14ac:dyDescent="0.25">
      <c r="AS1406" s="65"/>
      <c r="AT1406" s="65"/>
    </row>
    <row r="1407" spans="45:46" x14ac:dyDescent="0.25">
      <c r="AS1407" s="65"/>
      <c r="AT1407" s="65"/>
    </row>
    <row r="1408" spans="45:46" x14ac:dyDescent="0.25">
      <c r="AS1408" s="65"/>
      <c r="AT1408" s="65"/>
    </row>
    <row r="1409" spans="45:46" x14ac:dyDescent="0.25">
      <c r="AS1409" s="65"/>
      <c r="AT1409" s="65"/>
    </row>
    <row r="1410" spans="45:46" x14ac:dyDescent="0.25">
      <c r="AS1410" s="65"/>
      <c r="AT1410" s="65"/>
    </row>
    <row r="1411" spans="45:46" x14ac:dyDescent="0.25">
      <c r="AS1411" s="65"/>
      <c r="AT1411" s="65"/>
    </row>
    <row r="1412" spans="45:46" x14ac:dyDescent="0.25">
      <c r="AS1412" s="65"/>
      <c r="AT1412" s="65"/>
    </row>
    <row r="1413" spans="45:46" x14ac:dyDescent="0.25">
      <c r="AS1413" s="65"/>
      <c r="AT1413" s="65"/>
    </row>
    <row r="1414" spans="45:46" x14ac:dyDescent="0.25">
      <c r="AS1414" s="65"/>
      <c r="AT1414" s="65"/>
    </row>
    <row r="1415" spans="45:46" x14ac:dyDescent="0.25">
      <c r="AS1415" s="65"/>
      <c r="AT1415" s="65"/>
    </row>
    <row r="1416" spans="45:46" x14ac:dyDescent="0.25">
      <c r="AS1416" s="65"/>
      <c r="AT1416" s="65"/>
    </row>
    <row r="1417" spans="45:46" x14ac:dyDescent="0.25">
      <c r="AS1417" s="65"/>
      <c r="AT1417" s="65"/>
    </row>
    <row r="1418" spans="45:46" x14ac:dyDescent="0.25">
      <c r="AS1418" s="65"/>
      <c r="AT1418" s="65"/>
    </row>
    <row r="1419" spans="45:46" x14ac:dyDescent="0.25">
      <c r="AS1419" s="65"/>
      <c r="AT1419" s="65"/>
    </row>
    <row r="1420" spans="45:46" x14ac:dyDescent="0.25">
      <c r="AS1420" s="65"/>
      <c r="AT1420" s="65"/>
    </row>
    <row r="1421" spans="45:46" x14ac:dyDescent="0.25">
      <c r="AS1421" s="65"/>
      <c r="AT1421" s="65"/>
    </row>
    <row r="1422" spans="45:46" x14ac:dyDescent="0.25">
      <c r="AS1422" s="65"/>
      <c r="AT1422" s="65"/>
    </row>
    <row r="1423" spans="45:46" x14ac:dyDescent="0.25">
      <c r="AS1423" s="65"/>
      <c r="AT1423" s="65"/>
    </row>
    <row r="1424" spans="45:46" x14ac:dyDescent="0.25">
      <c r="AS1424" s="65"/>
      <c r="AT1424" s="65"/>
    </row>
    <row r="1425" spans="45:46" x14ac:dyDescent="0.25">
      <c r="AS1425" s="65"/>
      <c r="AT1425" s="65"/>
    </row>
    <row r="1426" spans="45:46" x14ac:dyDescent="0.25">
      <c r="AS1426" s="65"/>
      <c r="AT1426" s="65"/>
    </row>
    <row r="1427" spans="45:46" x14ac:dyDescent="0.25">
      <c r="AS1427" s="65"/>
      <c r="AT1427" s="65"/>
    </row>
    <row r="1428" spans="45:46" x14ac:dyDescent="0.25">
      <c r="AS1428" s="65"/>
      <c r="AT1428" s="65"/>
    </row>
    <row r="1429" spans="45:46" x14ac:dyDescent="0.25">
      <c r="AS1429" s="65"/>
      <c r="AT1429" s="65"/>
    </row>
    <row r="1430" spans="45:46" x14ac:dyDescent="0.25">
      <c r="AS1430" s="65"/>
      <c r="AT1430" s="65"/>
    </row>
    <row r="1431" spans="45:46" x14ac:dyDescent="0.25">
      <c r="AS1431" s="65"/>
      <c r="AT1431" s="65"/>
    </row>
    <row r="1432" spans="45:46" x14ac:dyDescent="0.25">
      <c r="AS1432" s="65"/>
      <c r="AT1432" s="65"/>
    </row>
    <row r="1433" spans="45:46" x14ac:dyDescent="0.25">
      <c r="AS1433" s="65"/>
      <c r="AT1433" s="65"/>
    </row>
    <row r="1434" spans="45:46" x14ac:dyDescent="0.25">
      <c r="AS1434" s="65"/>
      <c r="AT1434" s="65"/>
    </row>
    <row r="1435" spans="45:46" x14ac:dyDescent="0.25">
      <c r="AS1435" s="65"/>
      <c r="AT1435" s="65"/>
    </row>
    <row r="1436" spans="45:46" x14ac:dyDescent="0.25">
      <c r="AS1436" s="65"/>
      <c r="AT1436" s="65"/>
    </row>
    <row r="1437" spans="45:46" x14ac:dyDescent="0.25">
      <c r="AS1437" s="65"/>
      <c r="AT1437" s="65"/>
    </row>
    <row r="1438" spans="45:46" x14ac:dyDescent="0.25">
      <c r="AS1438" s="65"/>
      <c r="AT1438" s="65"/>
    </row>
    <row r="1439" spans="45:46" x14ac:dyDescent="0.25">
      <c r="AS1439" s="65"/>
      <c r="AT1439" s="65"/>
    </row>
    <row r="1440" spans="45:46" x14ac:dyDescent="0.25">
      <c r="AS1440" s="65"/>
      <c r="AT1440" s="65"/>
    </row>
    <row r="1441" spans="45:46" x14ac:dyDescent="0.25">
      <c r="AS1441" s="65"/>
      <c r="AT1441" s="65"/>
    </row>
    <row r="1442" spans="45:46" x14ac:dyDescent="0.25">
      <c r="AS1442" s="65"/>
      <c r="AT1442" s="65"/>
    </row>
    <row r="1443" spans="45:46" x14ac:dyDescent="0.25">
      <c r="AS1443" s="65"/>
      <c r="AT1443" s="65"/>
    </row>
    <row r="1444" spans="45:46" x14ac:dyDescent="0.25">
      <c r="AS1444" s="65"/>
      <c r="AT1444" s="65"/>
    </row>
    <row r="1445" spans="45:46" x14ac:dyDescent="0.25">
      <c r="AS1445" s="65"/>
      <c r="AT1445" s="65"/>
    </row>
    <row r="1446" spans="45:46" x14ac:dyDescent="0.25">
      <c r="AS1446" s="65"/>
      <c r="AT1446" s="65"/>
    </row>
    <row r="1447" spans="45:46" x14ac:dyDescent="0.25">
      <c r="AS1447" s="65"/>
      <c r="AT1447" s="65"/>
    </row>
    <row r="1448" spans="45:46" x14ac:dyDescent="0.25">
      <c r="AS1448" s="65"/>
      <c r="AT1448" s="65"/>
    </row>
    <row r="1449" spans="45:46" x14ac:dyDescent="0.25">
      <c r="AS1449" s="65"/>
      <c r="AT1449" s="65"/>
    </row>
    <row r="1450" spans="45:46" x14ac:dyDescent="0.25">
      <c r="AS1450" s="65"/>
      <c r="AT1450" s="65"/>
    </row>
    <row r="1451" spans="45:46" x14ac:dyDescent="0.25">
      <c r="AS1451" s="65"/>
      <c r="AT1451" s="65"/>
    </row>
    <row r="1452" spans="45:46" x14ac:dyDescent="0.25">
      <c r="AS1452" s="65"/>
      <c r="AT1452" s="65"/>
    </row>
    <row r="1453" spans="45:46" x14ac:dyDescent="0.25">
      <c r="AS1453" s="65"/>
      <c r="AT1453" s="65"/>
    </row>
    <row r="1454" spans="45:46" x14ac:dyDescent="0.25">
      <c r="AS1454" s="65"/>
      <c r="AT1454" s="65"/>
    </row>
    <row r="1455" spans="45:46" x14ac:dyDescent="0.25">
      <c r="AS1455" s="65"/>
      <c r="AT1455" s="65"/>
    </row>
    <row r="1456" spans="45:46" x14ac:dyDescent="0.25">
      <c r="AS1456" s="65"/>
      <c r="AT1456" s="65"/>
    </row>
    <row r="1457" spans="45:46" x14ac:dyDescent="0.25">
      <c r="AS1457" s="65"/>
      <c r="AT1457" s="65"/>
    </row>
    <row r="1458" spans="45:46" x14ac:dyDescent="0.25">
      <c r="AS1458" s="65"/>
      <c r="AT1458" s="65"/>
    </row>
    <row r="1459" spans="45:46" x14ac:dyDescent="0.25">
      <c r="AS1459" s="65"/>
      <c r="AT1459" s="65"/>
    </row>
    <row r="1460" spans="45:46" x14ac:dyDescent="0.25">
      <c r="AS1460" s="65"/>
      <c r="AT1460" s="65"/>
    </row>
    <row r="1461" spans="45:46" x14ac:dyDescent="0.25">
      <c r="AS1461" s="65"/>
      <c r="AT1461" s="65"/>
    </row>
    <row r="1462" spans="45:46" x14ac:dyDescent="0.25">
      <c r="AS1462" s="65"/>
      <c r="AT1462" s="65"/>
    </row>
    <row r="1463" spans="45:46" x14ac:dyDescent="0.25">
      <c r="AS1463" s="65"/>
      <c r="AT1463" s="65"/>
    </row>
    <row r="1464" spans="45:46" x14ac:dyDescent="0.25">
      <c r="AS1464" s="65"/>
      <c r="AT1464" s="65"/>
    </row>
    <row r="1465" spans="45:46" x14ac:dyDescent="0.25">
      <c r="AS1465" s="65"/>
      <c r="AT1465" s="65"/>
    </row>
    <row r="1466" spans="45:46" x14ac:dyDescent="0.25">
      <c r="AS1466" s="65"/>
      <c r="AT1466" s="65"/>
    </row>
    <row r="1467" spans="45:46" x14ac:dyDescent="0.25">
      <c r="AS1467" s="65"/>
      <c r="AT1467" s="65"/>
    </row>
    <row r="1468" spans="45:46" x14ac:dyDescent="0.25">
      <c r="AS1468" s="65"/>
      <c r="AT1468" s="65"/>
    </row>
    <row r="1469" spans="45:46" x14ac:dyDescent="0.25">
      <c r="AS1469" s="65"/>
      <c r="AT1469" s="65"/>
    </row>
    <row r="1470" spans="45:46" x14ac:dyDescent="0.25">
      <c r="AS1470" s="65"/>
      <c r="AT1470" s="65"/>
    </row>
    <row r="1471" spans="45:46" x14ac:dyDescent="0.25">
      <c r="AS1471" s="65"/>
      <c r="AT1471" s="65"/>
    </row>
    <row r="1472" spans="45:46" x14ac:dyDescent="0.25">
      <c r="AS1472" s="65"/>
      <c r="AT1472" s="65"/>
    </row>
    <row r="1473" spans="45:46" x14ac:dyDescent="0.25">
      <c r="AS1473" s="65"/>
      <c r="AT1473" s="65"/>
    </row>
    <row r="1474" spans="45:46" x14ac:dyDescent="0.25">
      <c r="AS1474" s="65"/>
      <c r="AT1474" s="65"/>
    </row>
    <row r="1475" spans="45:46" x14ac:dyDescent="0.25">
      <c r="AS1475" s="65"/>
      <c r="AT1475" s="65"/>
    </row>
    <row r="1476" spans="45:46" x14ac:dyDescent="0.25">
      <c r="AS1476" s="65"/>
      <c r="AT1476" s="65"/>
    </row>
    <row r="1477" spans="45:46" x14ac:dyDescent="0.25">
      <c r="AS1477" s="65"/>
      <c r="AT1477" s="65"/>
    </row>
    <row r="1478" spans="45:46" x14ac:dyDescent="0.25">
      <c r="AS1478" s="65"/>
      <c r="AT1478" s="65"/>
    </row>
    <row r="1479" spans="45:46" x14ac:dyDescent="0.25">
      <c r="AS1479" s="65"/>
      <c r="AT1479" s="65"/>
    </row>
    <row r="1480" spans="45:46" x14ac:dyDescent="0.25">
      <c r="AS1480" s="65"/>
      <c r="AT1480" s="65"/>
    </row>
    <row r="1481" spans="45:46" x14ac:dyDescent="0.25">
      <c r="AS1481" s="65"/>
      <c r="AT1481" s="65"/>
    </row>
    <row r="1482" spans="45:46" x14ac:dyDescent="0.25">
      <c r="AS1482" s="65"/>
      <c r="AT1482" s="65"/>
    </row>
    <row r="1483" spans="45:46" x14ac:dyDescent="0.25">
      <c r="AS1483" s="65"/>
      <c r="AT1483" s="65"/>
    </row>
    <row r="1484" spans="45:46" x14ac:dyDescent="0.25">
      <c r="AS1484" s="65"/>
      <c r="AT1484" s="65"/>
    </row>
    <row r="1485" spans="45:46" x14ac:dyDescent="0.25">
      <c r="AS1485" s="65"/>
      <c r="AT1485" s="65"/>
    </row>
    <row r="1486" spans="45:46" x14ac:dyDescent="0.25">
      <c r="AS1486" s="65"/>
      <c r="AT1486" s="65"/>
    </row>
    <row r="1487" spans="45:46" x14ac:dyDescent="0.25">
      <c r="AS1487" s="65"/>
      <c r="AT1487" s="65"/>
    </row>
    <row r="1488" spans="45:46" x14ac:dyDescent="0.25">
      <c r="AS1488" s="65"/>
      <c r="AT1488" s="65"/>
    </row>
    <row r="1489" spans="45:46" x14ac:dyDescent="0.25">
      <c r="AS1489" s="65"/>
      <c r="AT1489" s="65"/>
    </row>
    <row r="1490" spans="45:46" x14ac:dyDescent="0.25">
      <c r="AS1490" s="65"/>
      <c r="AT1490" s="65"/>
    </row>
    <row r="1491" spans="45:46" x14ac:dyDescent="0.25">
      <c r="AS1491" s="65"/>
      <c r="AT1491" s="65"/>
    </row>
    <row r="1492" spans="45:46" x14ac:dyDescent="0.25">
      <c r="AS1492" s="65"/>
      <c r="AT1492" s="65"/>
    </row>
    <row r="1493" spans="45:46" x14ac:dyDescent="0.25">
      <c r="AS1493" s="65"/>
      <c r="AT1493" s="65"/>
    </row>
    <row r="1494" spans="45:46" x14ac:dyDescent="0.25">
      <c r="AS1494" s="65"/>
      <c r="AT1494" s="65"/>
    </row>
    <row r="1495" spans="45:46" x14ac:dyDescent="0.25">
      <c r="AS1495" s="65"/>
      <c r="AT1495" s="65"/>
    </row>
    <row r="1496" spans="45:46" x14ac:dyDescent="0.25">
      <c r="AS1496" s="65"/>
      <c r="AT1496" s="65"/>
    </row>
    <row r="1497" spans="45:46" x14ac:dyDescent="0.25">
      <c r="AS1497" s="65"/>
      <c r="AT1497" s="65"/>
    </row>
    <row r="1498" spans="45:46" x14ac:dyDescent="0.25">
      <c r="AS1498" s="65"/>
      <c r="AT1498" s="65"/>
    </row>
    <row r="1499" spans="45:46" x14ac:dyDescent="0.25">
      <c r="AS1499" s="65"/>
      <c r="AT1499" s="65"/>
    </row>
    <row r="1500" spans="45:46" x14ac:dyDescent="0.25">
      <c r="AS1500" s="65"/>
      <c r="AT1500" s="65"/>
    </row>
    <row r="1501" spans="45:46" x14ac:dyDescent="0.25">
      <c r="AS1501" s="65"/>
      <c r="AT1501" s="65"/>
    </row>
    <row r="1502" spans="45:46" x14ac:dyDescent="0.25">
      <c r="AS1502" s="65"/>
      <c r="AT1502" s="65"/>
    </row>
    <row r="1503" spans="45:46" x14ac:dyDescent="0.25">
      <c r="AS1503" s="65"/>
      <c r="AT1503" s="65"/>
    </row>
    <row r="1504" spans="45:46" x14ac:dyDescent="0.25">
      <c r="AS1504" s="65"/>
      <c r="AT1504" s="65"/>
    </row>
    <row r="1505" spans="45:46" x14ac:dyDescent="0.25">
      <c r="AS1505" s="65"/>
      <c r="AT1505" s="65"/>
    </row>
    <row r="1506" spans="45:46" x14ac:dyDescent="0.25">
      <c r="AS1506" s="65"/>
      <c r="AT1506" s="65"/>
    </row>
    <row r="1507" spans="45:46" x14ac:dyDescent="0.25">
      <c r="AS1507" s="65"/>
      <c r="AT1507" s="65"/>
    </row>
    <row r="1508" spans="45:46" x14ac:dyDescent="0.25">
      <c r="AS1508" s="65"/>
      <c r="AT1508" s="65"/>
    </row>
    <row r="1509" spans="45:46" x14ac:dyDescent="0.25">
      <c r="AS1509" s="65"/>
      <c r="AT1509" s="65"/>
    </row>
    <row r="1510" spans="45:46" x14ac:dyDescent="0.25">
      <c r="AS1510" s="65"/>
      <c r="AT1510" s="65"/>
    </row>
    <row r="1511" spans="45:46" x14ac:dyDescent="0.25">
      <c r="AS1511" s="65"/>
      <c r="AT1511" s="65"/>
    </row>
    <row r="1512" spans="45:46" x14ac:dyDescent="0.25">
      <c r="AS1512" s="65"/>
      <c r="AT1512" s="65"/>
    </row>
    <row r="1513" spans="45:46" x14ac:dyDescent="0.25">
      <c r="AS1513" s="65"/>
      <c r="AT1513" s="65"/>
    </row>
    <row r="1514" spans="45:46" x14ac:dyDescent="0.25">
      <c r="AS1514" s="65"/>
      <c r="AT1514" s="65"/>
    </row>
    <row r="1515" spans="45:46" x14ac:dyDescent="0.25">
      <c r="AS1515" s="65"/>
      <c r="AT1515" s="65"/>
    </row>
    <row r="1516" spans="45:46" x14ac:dyDescent="0.25">
      <c r="AS1516" s="65"/>
      <c r="AT1516" s="65"/>
    </row>
    <row r="1517" spans="45:46" x14ac:dyDescent="0.25">
      <c r="AS1517" s="65"/>
      <c r="AT1517" s="65"/>
    </row>
    <row r="1518" spans="45:46" x14ac:dyDescent="0.25">
      <c r="AS1518" s="65"/>
      <c r="AT1518" s="65"/>
    </row>
    <row r="1519" spans="45:46" x14ac:dyDescent="0.25">
      <c r="AS1519" s="65"/>
      <c r="AT1519" s="65"/>
    </row>
    <row r="1520" spans="45:46" x14ac:dyDescent="0.25">
      <c r="AS1520" s="65"/>
      <c r="AT1520" s="65"/>
    </row>
    <row r="1521" spans="45:46" x14ac:dyDescent="0.25">
      <c r="AS1521" s="65"/>
      <c r="AT1521" s="65"/>
    </row>
    <row r="1522" spans="45:46" x14ac:dyDescent="0.25">
      <c r="AS1522" s="65"/>
      <c r="AT1522" s="65"/>
    </row>
    <row r="1523" spans="45:46" x14ac:dyDescent="0.25">
      <c r="AS1523" s="65"/>
      <c r="AT1523" s="65"/>
    </row>
    <row r="1524" spans="45:46" x14ac:dyDescent="0.25">
      <c r="AS1524" s="65"/>
      <c r="AT1524" s="65"/>
    </row>
    <row r="1525" spans="45:46" x14ac:dyDescent="0.25">
      <c r="AS1525" s="65"/>
      <c r="AT1525" s="65"/>
    </row>
    <row r="1526" spans="45:46" x14ac:dyDescent="0.25">
      <c r="AS1526" s="65"/>
      <c r="AT1526" s="65"/>
    </row>
    <row r="1527" spans="45:46" x14ac:dyDescent="0.25">
      <c r="AS1527" s="65"/>
      <c r="AT1527" s="65"/>
    </row>
    <row r="1528" spans="45:46" x14ac:dyDescent="0.25">
      <c r="AS1528" s="65"/>
      <c r="AT1528" s="65"/>
    </row>
    <row r="1529" spans="45:46" x14ac:dyDescent="0.25">
      <c r="AS1529" s="65"/>
      <c r="AT1529" s="65"/>
    </row>
    <row r="1530" spans="45:46" x14ac:dyDescent="0.25">
      <c r="AS1530" s="65"/>
      <c r="AT1530" s="65"/>
    </row>
    <row r="1531" spans="45:46" x14ac:dyDescent="0.25">
      <c r="AS1531" s="65"/>
      <c r="AT1531" s="65"/>
    </row>
    <row r="1532" spans="45:46" x14ac:dyDescent="0.25">
      <c r="AS1532" s="65"/>
      <c r="AT1532" s="65"/>
    </row>
    <row r="1533" spans="45:46" x14ac:dyDescent="0.25">
      <c r="AS1533" s="65"/>
      <c r="AT1533" s="65"/>
    </row>
    <row r="1534" spans="45:46" x14ac:dyDescent="0.25">
      <c r="AS1534" s="65"/>
      <c r="AT1534" s="65"/>
    </row>
    <row r="1535" spans="45:46" x14ac:dyDescent="0.25">
      <c r="AS1535" s="65"/>
      <c r="AT1535" s="65"/>
    </row>
    <row r="1536" spans="45:46" x14ac:dyDescent="0.25">
      <c r="AS1536" s="65"/>
      <c r="AT1536" s="65"/>
    </row>
    <row r="1537" spans="45:46" x14ac:dyDescent="0.25">
      <c r="AS1537" s="65"/>
      <c r="AT1537" s="65"/>
    </row>
    <row r="1538" spans="45:46" x14ac:dyDescent="0.25">
      <c r="AS1538" s="65"/>
      <c r="AT1538" s="65"/>
    </row>
    <row r="1539" spans="45:46" x14ac:dyDescent="0.25">
      <c r="AS1539" s="65"/>
      <c r="AT1539" s="65"/>
    </row>
    <row r="1540" spans="45:46" x14ac:dyDescent="0.25">
      <c r="AS1540" s="65"/>
      <c r="AT1540" s="65"/>
    </row>
    <row r="1541" spans="45:46" x14ac:dyDescent="0.25">
      <c r="AS1541" s="65"/>
      <c r="AT1541" s="65"/>
    </row>
    <row r="1542" spans="45:46" x14ac:dyDescent="0.25">
      <c r="AS1542" s="65"/>
      <c r="AT1542" s="65"/>
    </row>
    <row r="1543" spans="45:46" x14ac:dyDescent="0.25">
      <c r="AS1543" s="65"/>
      <c r="AT1543" s="65"/>
    </row>
    <row r="1544" spans="45:46" x14ac:dyDescent="0.25">
      <c r="AS1544" s="65"/>
      <c r="AT1544" s="65"/>
    </row>
    <row r="1545" spans="45:46" x14ac:dyDescent="0.25">
      <c r="AS1545" s="65"/>
      <c r="AT1545" s="65"/>
    </row>
    <row r="1546" spans="45:46" x14ac:dyDescent="0.25">
      <c r="AS1546" s="65"/>
      <c r="AT1546" s="65"/>
    </row>
    <row r="1547" spans="45:46" x14ac:dyDescent="0.25">
      <c r="AS1547" s="65"/>
      <c r="AT1547" s="65"/>
    </row>
    <row r="1548" spans="45:46" x14ac:dyDescent="0.25">
      <c r="AS1548" s="65"/>
      <c r="AT1548" s="65"/>
    </row>
    <row r="1549" spans="45:46" x14ac:dyDescent="0.25">
      <c r="AS1549" s="65"/>
      <c r="AT1549" s="65"/>
    </row>
    <row r="1550" spans="45:46" x14ac:dyDescent="0.25">
      <c r="AS1550" s="65"/>
      <c r="AT1550" s="65"/>
    </row>
    <row r="1551" spans="45:46" x14ac:dyDescent="0.25">
      <c r="AS1551" s="65"/>
      <c r="AT1551" s="65"/>
    </row>
    <row r="1552" spans="45:46" x14ac:dyDescent="0.25">
      <c r="AS1552" s="65"/>
      <c r="AT1552" s="65"/>
    </row>
    <row r="1553" spans="45:46" x14ac:dyDescent="0.25">
      <c r="AS1553" s="65"/>
      <c r="AT1553" s="65"/>
    </row>
    <row r="1554" spans="45:46" x14ac:dyDescent="0.25">
      <c r="AS1554" s="65"/>
      <c r="AT1554" s="65"/>
    </row>
    <row r="1555" spans="45:46" x14ac:dyDescent="0.25">
      <c r="AS1555" s="65"/>
      <c r="AT1555" s="65"/>
    </row>
    <row r="1556" spans="45:46" x14ac:dyDescent="0.25">
      <c r="AS1556" s="65"/>
      <c r="AT1556" s="65"/>
    </row>
    <row r="1557" spans="45:46" x14ac:dyDescent="0.25">
      <c r="AS1557" s="65"/>
      <c r="AT1557" s="65"/>
    </row>
    <row r="1558" spans="45:46" x14ac:dyDescent="0.25">
      <c r="AS1558" s="65"/>
      <c r="AT1558" s="65"/>
    </row>
    <row r="1559" spans="45:46" x14ac:dyDescent="0.25">
      <c r="AS1559" s="65"/>
      <c r="AT1559" s="65"/>
    </row>
    <row r="1560" spans="45:46" x14ac:dyDescent="0.25">
      <c r="AS1560" s="65"/>
      <c r="AT1560" s="65"/>
    </row>
    <row r="1561" spans="45:46" x14ac:dyDescent="0.25">
      <c r="AS1561" s="65"/>
      <c r="AT1561" s="65"/>
    </row>
    <row r="1562" spans="45:46" x14ac:dyDescent="0.25">
      <c r="AS1562" s="65"/>
      <c r="AT1562" s="65"/>
    </row>
    <row r="1563" spans="45:46" x14ac:dyDescent="0.25">
      <c r="AS1563" s="65"/>
      <c r="AT1563" s="65"/>
    </row>
    <row r="1564" spans="45:46" x14ac:dyDescent="0.25">
      <c r="AS1564" s="65"/>
      <c r="AT1564" s="65"/>
    </row>
    <row r="1565" spans="45:46" x14ac:dyDescent="0.25">
      <c r="AS1565" s="65"/>
      <c r="AT1565" s="65"/>
    </row>
    <row r="1566" spans="45:46" x14ac:dyDescent="0.25">
      <c r="AS1566" s="65"/>
      <c r="AT1566" s="65"/>
    </row>
    <row r="1567" spans="45:46" x14ac:dyDescent="0.25">
      <c r="AS1567" s="65"/>
      <c r="AT1567" s="65"/>
    </row>
    <row r="1568" spans="45:46" x14ac:dyDescent="0.25">
      <c r="AS1568" s="65"/>
      <c r="AT1568" s="65"/>
    </row>
    <row r="1569" spans="45:46" x14ac:dyDescent="0.25">
      <c r="AS1569" s="65"/>
      <c r="AT1569" s="65"/>
    </row>
    <row r="1570" spans="45:46" x14ac:dyDescent="0.25">
      <c r="AS1570" s="65"/>
      <c r="AT1570" s="65"/>
    </row>
    <row r="1571" spans="45:46" x14ac:dyDescent="0.25">
      <c r="AS1571" s="65"/>
      <c r="AT1571" s="65"/>
    </row>
    <row r="1572" spans="45:46" x14ac:dyDescent="0.25">
      <c r="AS1572" s="65"/>
      <c r="AT1572" s="65"/>
    </row>
    <row r="1573" spans="45:46" x14ac:dyDescent="0.25">
      <c r="AS1573" s="65"/>
      <c r="AT1573" s="65"/>
    </row>
    <row r="1574" spans="45:46" x14ac:dyDescent="0.25">
      <c r="AS1574" s="65"/>
      <c r="AT1574" s="65"/>
    </row>
    <row r="1575" spans="45:46" x14ac:dyDescent="0.25">
      <c r="AS1575" s="65"/>
      <c r="AT1575" s="65"/>
    </row>
    <row r="1576" spans="45:46" x14ac:dyDescent="0.25">
      <c r="AS1576" s="65"/>
      <c r="AT1576" s="65"/>
    </row>
    <row r="1577" spans="45:46" x14ac:dyDescent="0.25">
      <c r="AS1577" s="65"/>
      <c r="AT1577" s="65"/>
    </row>
    <row r="1578" spans="45:46" x14ac:dyDescent="0.25">
      <c r="AS1578" s="65"/>
      <c r="AT1578" s="65"/>
    </row>
    <row r="1579" spans="45:46" x14ac:dyDescent="0.25">
      <c r="AS1579" s="65"/>
      <c r="AT1579" s="65"/>
    </row>
    <row r="1580" spans="45:46" x14ac:dyDescent="0.25">
      <c r="AS1580" s="65"/>
      <c r="AT1580" s="65"/>
    </row>
    <row r="1581" spans="45:46" x14ac:dyDescent="0.25">
      <c r="AS1581" s="65"/>
      <c r="AT1581" s="65"/>
    </row>
    <row r="1582" spans="45:46" x14ac:dyDescent="0.25">
      <c r="AS1582" s="65"/>
      <c r="AT1582" s="65"/>
    </row>
    <row r="1583" spans="45:46" x14ac:dyDescent="0.25">
      <c r="AS1583" s="65"/>
      <c r="AT1583" s="65"/>
    </row>
    <row r="1584" spans="45:46" x14ac:dyDescent="0.25">
      <c r="AS1584" s="65"/>
      <c r="AT1584" s="65"/>
    </row>
    <row r="1585" spans="45:46" x14ac:dyDescent="0.25">
      <c r="AS1585" s="65"/>
      <c r="AT1585" s="65"/>
    </row>
    <row r="1586" spans="45:46" x14ac:dyDescent="0.25">
      <c r="AS1586" s="65"/>
      <c r="AT1586" s="65"/>
    </row>
    <row r="1587" spans="45:46" x14ac:dyDescent="0.25">
      <c r="AS1587" s="65"/>
      <c r="AT1587" s="65"/>
    </row>
    <row r="1588" spans="45:46" x14ac:dyDescent="0.25">
      <c r="AS1588" s="65"/>
      <c r="AT1588" s="65"/>
    </row>
    <row r="1589" spans="45:46" x14ac:dyDescent="0.25">
      <c r="AS1589" s="65"/>
      <c r="AT1589" s="65"/>
    </row>
    <row r="1590" spans="45:46" x14ac:dyDescent="0.25">
      <c r="AS1590" s="65"/>
      <c r="AT1590" s="65"/>
    </row>
    <row r="1591" spans="45:46" x14ac:dyDescent="0.25">
      <c r="AS1591" s="65"/>
      <c r="AT1591" s="65"/>
    </row>
    <row r="1592" spans="45:46" x14ac:dyDescent="0.25">
      <c r="AS1592" s="65"/>
      <c r="AT1592" s="65"/>
    </row>
    <row r="1593" spans="45:46" x14ac:dyDescent="0.25">
      <c r="AS1593" s="65"/>
      <c r="AT1593" s="65"/>
    </row>
    <row r="1594" spans="45:46" x14ac:dyDescent="0.25">
      <c r="AS1594" s="65"/>
      <c r="AT1594" s="65"/>
    </row>
    <row r="1595" spans="45:46" x14ac:dyDescent="0.25">
      <c r="AS1595" s="65"/>
      <c r="AT1595" s="65"/>
    </row>
    <row r="1596" spans="45:46" x14ac:dyDescent="0.25">
      <c r="AS1596" s="65"/>
      <c r="AT1596" s="65"/>
    </row>
    <row r="1597" spans="45:46" x14ac:dyDescent="0.25">
      <c r="AS1597" s="65"/>
      <c r="AT1597" s="65"/>
    </row>
    <row r="1598" spans="45:46" x14ac:dyDescent="0.25">
      <c r="AS1598" s="65"/>
      <c r="AT1598" s="65"/>
    </row>
    <row r="1599" spans="45:46" x14ac:dyDescent="0.25">
      <c r="AS1599" s="65"/>
      <c r="AT1599" s="65"/>
    </row>
    <row r="1600" spans="45:46" x14ac:dyDescent="0.25">
      <c r="AS1600" s="65"/>
      <c r="AT1600" s="65"/>
    </row>
    <row r="1601" spans="45:46" x14ac:dyDescent="0.25">
      <c r="AS1601" s="65"/>
      <c r="AT1601" s="65"/>
    </row>
    <row r="1602" spans="45:46" x14ac:dyDescent="0.25">
      <c r="AS1602" s="65"/>
      <c r="AT1602" s="65"/>
    </row>
    <row r="1603" spans="45:46" x14ac:dyDescent="0.25">
      <c r="AS1603" s="65"/>
      <c r="AT1603" s="65"/>
    </row>
    <row r="1604" spans="45:46" x14ac:dyDescent="0.25">
      <c r="AS1604" s="65"/>
      <c r="AT1604" s="65"/>
    </row>
    <row r="1605" spans="45:46" x14ac:dyDescent="0.25">
      <c r="AS1605" s="65"/>
      <c r="AT1605" s="65"/>
    </row>
    <row r="1606" spans="45:46" x14ac:dyDescent="0.25">
      <c r="AS1606" s="65"/>
      <c r="AT1606" s="65"/>
    </row>
    <row r="1607" spans="45:46" x14ac:dyDescent="0.25">
      <c r="AS1607" s="65"/>
      <c r="AT1607" s="65"/>
    </row>
    <row r="1608" spans="45:46" x14ac:dyDescent="0.25">
      <c r="AS1608" s="65"/>
      <c r="AT1608" s="65"/>
    </row>
    <row r="1609" spans="45:46" x14ac:dyDescent="0.25">
      <c r="AS1609" s="65"/>
      <c r="AT1609" s="65"/>
    </row>
    <row r="1610" spans="45:46" x14ac:dyDescent="0.25">
      <c r="AS1610" s="65"/>
      <c r="AT1610" s="65"/>
    </row>
    <row r="1611" spans="45:46" x14ac:dyDescent="0.25">
      <c r="AS1611" s="65"/>
      <c r="AT1611" s="65"/>
    </row>
    <row r="1612" spans="45:46" x14ac:dyDescent="0.25">
      <c r="AS1612" s="65"/>
      <c r="AT1612" s="65"/>
    </row>
    <row r="1613" spans="45:46" x14ac:dyDescent="0.25">
      <c r="AS1613" s="65"/>
      <c r="AT1613" s="65"/>
    </row>
    <row r="1614" spans="45:46" x14ac:dyDescent="0.25">
      <c r="AS1614" s="65"/>
      <c r="AT1614" s="65"/>
    </row>
    <row r="1615" spans="45:46" x14ac:dyDescent="0.25">
      <c r="AS1615" s="65"/>
      <c r="AT1615" s="65"/>
    </row>
    <row r="1616" spans="45:46" x14ac:dyDescent="0.25">
      <c r="AS1616" s="65"/>
      <c r="AT1616" s="65"/>
    </row>
    <row r="1617" spans="45:46" x14ac:dyDescent="0.25">
      <c r="AS1617" s="65"/>
      <c r="AT1617" s="65"/>
    </row>
    <row r="1618" spans="45:46" x14ac:dyDescent="0.25">
      <c r="AS1618" s="65"/>
      <c r="AT1618" s="65"/>
    </row>
    <row r="1619" spans="45:46" x14ac:dyDescent="0.25">
      <c r="AS1619" s="65"/>
      <c r="AT1619" s="65"/>
    </row>
    <row r="1620" spans="45:46" x14ac:dyDescent="0.25">
      <c r="AS1620" s="65"/>
      <c r="AT1620" s="65"/>
    </row>
    <row r="1621" spans="45:46" x14ac:dyDescent="0.25">
      <c r="AS1621" s="65"/>
      <c r="AT1621" s="65"/>
    </row>
    <row r="1622" spans="45:46" x14ac:dyDescent="0.25">
      <c r="AS1622" s="65"/>
      <c r="AT1622" s="65"/>
    </row>
    <row r="1623" spans="45:46" x14ac:dyDescent="0.25">
      <c r="AS1623" s="65"/>
      <c r="AT1623" s="65"/>
    </row>
    <row r="1624" spans="45:46" x14ac:dyDescent="0.25">
      <c r="AS1624" s="65"/>
      <c r="AT1624" s="65"/>
    </row>
    <row r="1625" spans="45:46" x14ac:dyDescent="0.25">
      <c r="AS1625" s="65"/>
      <c r="AT1625" s="65"/>
    </row>
    <row r="1626" spans="45:46" x14ac:dyDescent="0.25">
      <c r="AS1626" s="65"/>
      <c r="AT1626" s="65"/>
    </row>
    <row r="1627" spans="45:46" x14ac:dyDescent="0.25">
      <c r="AS1627" s="65"/>
      <c r="AT1627" s="65"/>
    </row>
    <row r="1628" spans="45:46" x14ac:dyDescent="0.25">
      <c r="AS1628" s="65"/>
      <c r="AT1628" s="65"/>
    </row>
    <row r="1629" spans="45:46" x14ac:dyDescent="0.25">
      <c r="AS1629" s="65"/>
      <c r="AT1629" s="65"/>
    </row>
    <row r="1630" spans="45:46" x14ac:dyDescent="0.25">
      <c r="AS1630" s="65"/>
      <c r="AT1630" s="65"/>
    </row>
    <row r="1631" spans="45:46" x14ac:dyDescent="0.25">
      <c r="AS1631" s="65"/>
      <c r="AT1631" s="65"/>
    </row>
    <row r="1632" spans="45:46" x14ac:dyDescent="0.25">
      <c r="AS1632" s="65"/>
      <c r="AT1632" s="65"/>
    </row>
    <row r="1633" spans="45:46" x14ac:dyDescent="0.25">
      <c r="AS1633" s="65"/>
      <c r="AT1633" s="65"/>
    </row>
    <row r="1634" spans="45:46" x14ac:dyDescent="0.25">
      <c r="AS1634" s="65"/>
      <c r="AT1634" s="65"/>
    </row>
    <row r="1635" spans="45:46" x14ac:dyDescent="0.25">
      <c r="AS1635" s="65"/>
      <c r="AT1635" s="65"/>
    </row>
    <row r="1636" spans="45:46" x14ac:dyDescent="0.25">
      <c r="AS1636" s="65"/>
      <c r="AT1636" s="65"/>
    </row>
    <row r="1637" spans="45:46" x14ac:dyDescent="0.25">
      <c r="AS1637" s="65"/>
      <c r="AT1637" s="65"/>
    </row>
    <row r="1638" spans="45:46" x14ac:dyDescent="0.25">
      <c r="AS1638" s="65"/>
      <c r="AT1638" s="65"/>
    </row>
    <row r="1639" spans="45:46" x14ac:dyDescent="0.25">
      <c r="AS1639" s="65"/>
      <c r="AT1639" s="65"/>
    </row>
    <row r="1640" spans="45:46" x14ac:dyDescent="0.25">
      <c r="AS1640" s="65"/>
      <c r="AT1640" s="65"/>
    </row>
    <row r="1641" spans="45:46" x14ac:dyDescent="0.25">
      <c r="AS1641" s="65"/>
      <c r="AT1641" s="65"/>
    </row>
    <row r="1642" spans="45:46" x14ac:dyDescent="0.25">
      <c r="AS1642" s="65"/>
      <c r="AT1642" s="65"/>
    </row>
    <row r="1643" spans="45:46" x14ac:dyDescent="0.25">
      <c r="AS1643" s="65"/>
      <c r="AT1643" s="65"/>
    </row>
    <row r="1644" spans="45:46" x14ac:dyDescent="0.25">
      <c r="AS1644" s="65"/>
      <c r="AT1644" s="65"/>
    </row>
    <row r="1645" spans="45:46" x14ac:dyDescent="0.25">
      <c r="AS1645" s="65"/>
      <c r="AT1645" s="65"/>
    </row>
    <row r="1646" spans="45:46" x14ac:dyDescent="0.25">
      <c r="AS1646" s="65"/>
      <c r="AT1646" s="65"/>
    </row>
    <row r="1647" spans="45:46" x14ac:dyDescent="0.25">
      <c r="AS1647" s="65"/>
      <c r="AT1647" s="65"/>
    </row>
    <row r="1648" spans="45:46" x14ac:dyDescent="0.25">
      <c r="AS1648" s="65"/>
      <c r="AT1648" s="65"/>
    </row>
    <row r="1649" spans="45:46" x14ac:dyDescent="0.25">
      <c r="AS1649" s="65"/>
      <c r="AT1649" s="65"/>
    </row>
    <row r="1650" spans="45:46" x14ac:dyDescent="0.25">
      <c r="AS1650" s="65"/>
      <c r="AT1650" s="65"/>
    </row>
    <row r="1651" spans="45:46" x14ac:dyDescent="0.25">
      <c r="AS1651" s="65"/>
      <c r="AT1651" s="65"/>
    </row>
    <row r="1652" spans="45:46" x14ac:dyDescent="0.25">
      <c r="AS1652" s="65"/>
      <c r="AT1652" s="65"/>
    </row>
    <row r="1653" spans="45:46" x14ac:dyDescent="0.25">
      <c r="AS1653" s="65"/>
      <c r="AT1653" s="65"/>
    </row>
    <row r="1654" spans="45:46" x14ac:dyDescent="0.25">
      <c r="AS1654" s="65"/>
      <c r="AT1654" s="65"/>
    </row>
    <row r="1655" spans="45:46" x14ac:dyDescent="0.25">
      <c r="AS1655" s="65"/>
      <c r="AT1655" s="65"/>
    </row>
    <row r="1656" spans="45:46" x14ac:dyDescent="0.25">
      <c r="AS1656" s="65"/>
      <c r="AT1656" s="65"/>
    </row>
    <row r="1657" spans="45:46" x14ac:dyDescent="0.25">
      <c r="AS1657" s="65"/>
      <c r="AT1657" s="65"/>
    </row>
    <row r="1658" spans="45:46" x14ac:dyDescent="0.25">
      <c r="AS1658" s="65"/>
      <c r="AT1658" s="65"/>
    </row>
    <row r="1659" spans="45:46" x14ac:dyDescent="0.25">
      <c r="AS1659" s="65"/>
      <c r="AT1659" s="65"/>
    </row>
    <row r="1660" spans="45:46" x14ac:dyDescent="0.25">
      <c r="AS1660" s="65"/>
      <c r="AT1660" s="65"/>
    </row>
    <row r="1661" spans="45:46" x14ac:dyDescent="0.25">
      <c r="AS1661" s="65"/>
      <c r="AT1661" s="65"/>
    </row>
    <row r="1662" spans="45:46" x14ac:dyDescent="0.25">
      <c r="AS1662" s="65"/>
      <c r="AT1662" s="65"/>
    </row>
    <row r="1663" spans="45:46" x14ac:dyDescent="0.25">
      <c r="AS1663" s="65"/>
      <c r="AT1663" s="65"/>
    </row>
    <row r="1664" spans="45:46" x14ac:dyDescent="0.25">
      <c r="AS1664" s="65"/>
      <c r="AT1664" s="65"/>
    </row>
    <row r="1665" spans="45:46" x14ac:dyDescent="0.25">
      <c r="AS1665" s="65"/>
      <c r="AT1665" s="65"/>
    </row>
    <row r="1666" spans="45:46" x14ac:dyDescent="0.25">
      <c r="AS1666" s="65"/>
      <c r="AT1666" s="65"/>
    </row>
    <row r="1667" spans="45:46" x14ac:dyDescent="0.25">
      <c r="AS1667" s="65"/>
      <c r="AT1667" s="65"/>
    </row>
    <row r="1668" spans="45:46" x14ac:dyDescent="0.25">
      <c r="AS1668" s="65"/>
      <c r="AT1668" s="65"/>
    </row>
    <row r="1669" spans="45:46" x14ac:dyDescent="0.25">
      <c r="AS1669" s="65"/>
      <c r="AT1669" s="65"/>
    </row>
    <row r="1670" spans="45:46" x14ac:dyDescent="0.25">
      <c r="AS1670" s="65"/>
      <c r="AT1670" s="65"/>
    </row>
    <row r="1671" spans="45:46" x14ac:dyDescent="0.25">
      <c r="AS1671" s="65"/>
      <c r="AT1671" s="65"/>
    </row>
    <row r="1672" spans="45:46" x14ac:dyDescent="0.25">
      <c r="AS1672" s="65"/>
      <c r="AT1672" s="65"/>
    </row>
    <row r="1673" spans="45:46" x14ac:dyDescent="0.25">
      <c r="AS1673" s="65"/>
      <c r="AT1673" s="65"/>
    </row>
    <row r="1674" spans="45:46" x14ac:dyDescent="0.25">
      <c r="AS1674" s="65"/>
      <c r="AT1674" s="65"/>
    </row>
    <row r="1675" spans="45:46" x14ac:dyDescent="0.25">
      <c r="AS1675" s="65"/>
      <c r="AT1675" s="65"/>
    </row>
    <row r="1676" spans="45:46" x14ac:dyDescent="0.25">
      <c r="AS1676" s="65"/>
      <c r="AT1676" s="65"/>
    </row>
    <row r="1677" spans="45:46" x14ac:dyDescent="0.25">
      <c r="AS1677" s="65"/>
      <c r="AT1677" s="65"/>
    </row>
    <row r="1678" spans="45:46" x14ac:dyDescent="0.25">
      <c r="AS1678" s="65"/>
      <c r="AT1678" s="65"/>
    </row>
    <row r="1679" spans="45:46" x14ac:dyDescent="0.25">
      <c r="AS1679" s="65"/>
      <c r="AT1679" s="65"/>
    </row>
    <row r="1680" spans="45:46" x14ac:dyDescent="0.25">
      <c r="AS1680" s="65"/>
      <c r="AT1680" s="65"/>
    </row>
    <row r="1681" spans="45:46" x14ac:dyDescent="0.25">
      <c r="AS1681" s="65"/>
      <c r="AT1681" s="65"/>
    </row>
    <row r="1682" spans="45:46" x14ac:dyDescent="0.25">
      <c r="AS1682" s="65"/>
      <c r="AT1682" s="65"/>
    </row>
    <row r="1683" spans="45:46" x14ac:dyDescent="0.25">
      <c r="AS1683" s="65"/>
      <c r="AT1683" s="65"/>
    </row>
    <row r="1684" spans="45:46" x14ac:dyDescent="0.25">
      <c r="AS1684" s="65"/>
      <c r="AT1684" s="65"/>
    </row>
    <row r="1685" spans="45:46" x14ac:dyDescent="0.25">
      <c r="AS1685" s="65"/>
      <c r="AT1685" s="65"/>
    </row>
    <row r="1686" spans="45:46" x14ac:dyDescent="0.25">
      <c r="AS1686" s="65"/>
      <c r="AT1686" s="65"/>
    </row>
    <row r="1687" spans="45:46" x14ac:dyDescent="0.25">
      <c r="AS1687" s="65"/>
      <c r="AT1687" s="65"/>
    </row>
    <row r="1688" spans="45:46" x14ac:dyDescent="0.25">
      <c r="AS1688" s="65"/>
      <c r="AT1688" s="65"/>
    </row>
    <row r="1689" spans="45:46" x14ac:dyDescent="0.25">
      <c r="AS1689" s="65"/>
      <c r="AT1689" s="65"/>
    </row>
    <row r="1690" spans="45:46" x14ac:dyDescent="0.25">
      <c r="AS1690" s="65"/>
      <c r="AT1690" s="65"/>
    </row>
    <row r="1691" spans="45:46" x14ac:dyDescent="0.25">
      <c r="AS1691" s="65"/>
      <c r="AT1691" s="65"/>
    </row>
    <row r="1692" spans="45:46" x14ac:dyDescent="0.25">
      <c r="AS1692" s="65"/>
      <c r="AT1692" s="65"/>
    </row>
    <row r="1693" spans="45:46" x14ac:dyDescent="0.25">
      <c r="AS1693" s="65"/>
      <c r="AT1693" s="65"/>
    </row>
    <row r="1694" spans="45:46" x14ac:dyDescent="0.25">
      <c r="AS1694" s="65"/>
      <c r="AT1694" s="65"/>
    </row>
    <row r="1695" spans="45:46" x14ac:dyDescent="0.25">
      <c r="AS1695" s="65"/>
      <c r="AT1695" s="65"/>
    </row>
    <row r="1696" spans="45:46" x14ac:dyDescent="0.25">
      <c r="AS1696" s="65"/>
      <c r="AT1696" s="65"/>
    </row>
    <row r="1697" spans="45:46" x14ac:dyDescent="0.25">
      <c r="AS1697" s="65"/>
      <c r="AT1697" s="65"/>
    </row>
    <row r="1698" spans="45:46" x14ac:dyDescent="0.25">
      <c r="AS1698" s="65"/>
      <c r="AT1698" s="65"/>
    </row>
    <row r="1699" spans="45:46" x14ac:dyDescent="0.25">
      <c r="AS1699" s="65"/>
      <c r="AT1699" s="65"/>
    </row>
    <row r="1700" spans="45:46" x14ac:dyDescent="0.25">
      <c r="AS1700" s="65"/>
      <c r="AT1700" s="65"/>
    </row>
    <row r="1701" spans="45:46" x14ac:dyDescent="0.25">
      <c r="AS1701" s="65"/>
      <c r="AT1701" s="65"/>
    </row>
    <row r="1702" spans="45:46" x14ac:dyDescent="0.25">
      <c r="AS1702" s="65"/>
      <c r="AT1702" s="65"/>
    </row>
    <row r="1703" spans="45:46" x14ac:dyDescent="0.25">
      <c r="AS1703" s="65"/>
      <c r="AT1703" s="65"/>
    </row>
    <row r="1704" spans="45:46" x14ac:dyDescent="0.25">
      <c r="AS1704" s="65"/>
      <c r="AT1704" s="65"/>
    </row>
    <row r="1705" spans="45:46" x14ac:dyDescent="0.25">
      <c r="AS1705" s="65"/>
      <c r="AT1705" s="65"/>
    </row>
    <row r="1706" spans="45:46" x14ac:dyDescent="0.25">
      <c r="AS1706" s="65"/>
      <c r="AT1706" s="65"/>
    </row>
    <row r="1707" spans="45:46" x14ac:dyDescent="0.25">
      <c r="AS1707" s="65"/>
      <c r="AT1707" s="65"/>
    </row>
    <row r="1708" spans="45:46" x14ac:dyDescent="0.25">
      <c r="AS1708" s="65"/>
      <c r="AT1708" s="65"/>
    </row>
    <row r="1709" spans="45:46" x14ac:dyDescent="0.25">
      <c r="AS1709" s="65"/>
      <c r="AT1709" s="65"/>
    </row>
    <row r="1710" spans="45:46" x14ac:dyDescent="0.25">
      <c r="AS1710" s="65"/>
      <c r="AT1710" s="65"/>
    </row>
    <row r="1711" spans="45:46" x14ac:dyDescent="0.25">
      <c r="AS1711" s="65"/>
      <c r="AT1711" s="65"/>
    </row>
    <row r="1712" spans="45:46" x14ac:dyDescent="0.25">
      <c r="AS1712" s="65"/>
      <c r="AT1712" s="65"/>
    </row>
    <row r="1713" spans="45:46" x14ac:dyDescent="0.25">
      <c r="AS1713" s="65"/>
      <c r="AT1713" s="65"/>
    </row>
    <row r="1714" spans="45:46" x14ac:dyDescent="0.25">
      <c r="AS1714" s="65"/>
      <c r="AT1714" s="65"/>
    </row>
    <row r="1715" spans="45:46" x14ac:dyDescent="0.25">
      <c r="AS1715" s="65"/>
      <c r="AT1715" s="65"/>
    </row>
    <row r="1716" spans="45:46" x14ac:dyDescent="0.25">
      <c r="AS1716" s="65"/>
      <c r="AT1716" s="65"/>
    </row>
    <row r="1717" spans="45:46" x14ac:dyDescent="0.25">
      <c r="AS1717" s="65"/>
      <c r="AT1717" s="65"/>
    </row>
    <row r="1718" spans="45:46" x14ac:dyDescent="0.25">
      <c r="AS1718" s="65"/>
      <c r="AT1718" s="65"/>
    </row>
    <row r="1719" spans="45:46" x14ac:dyDescent="0.25">
      <c r="AS1719" s="65"/>
      <c r="AT1719" s="65"/>
    </row>
    <row r="1720" spans="45:46" x14ac:dyDescent="0.25">
      <c r="AS1720" s="65"/>
      <c r="AT1720" s="65"/>
    </row>
    <row r="1721" spans="45:46" x14ac:dyDescent="0.25">
      <c r="AS1721" s="65"/>
      <c r="AT1721" s="65"/>
    </row>
    <row r="1722" spans="45:46" x14ac:dyDescent="0.25">
      <c r="AS1722" s="65"/>
      <c r="AT1722" s="65"/>
    </row>
    <row r="1723" spans="45:46" x14ac:dyDescent="0.25">
      <c r="AS1723" s="65"/>
      <c r="AT1723" s="65"/>
    </row>
    <row r="1724" spans="45:46" x14ac:dyDescent="0.25">
      <c r="AS1724" s="65"/>
      <c r="AT1724" s="65"/>
    </row>
    <row r="1725" spans="45:46" x14ac:dyDescent="0.25">
      <c r="AS1725" s="65"/>
      <c r="AT1725" s="65"/>
    </row>
    <row r="1726" spans="45:46" x14ac:dyDescent="0.25">
      <c r="AS1726" s="65"/>
      <c r="AT1726" s="65"/>
    </row>
    <row r="1727" spans="45:46" x14ac:dyDescent="0.25">
      <c r="AS1727" s="65"/>
      <c r="AT1727" s="65"/>
    </row>
    <row r="1728" spans="45:46" x14ac:dyDescent="0.25">
      <c r="AS1728" s="65"/>
      <c r="AT1728" s="65"/>
    </row>
    <row r="1729" spans="45:46" x14ac:dyDescent="0.25">
      <c r="AS1729" s="65"/>
      <c r="AT1729" s="65"/>
    </row>
    <row r="1730" spans="45:46" x14ac:dyDescent="0.25">
      <c r="AS1730" s="65"/>
      <c r="AT1730" s="65"/>
    </row>
    <row r="1731" spans="45:46" x14ac:dyDescent="0.25">
      <c r="AS1731" s="65"/>
      <c r="AT1731" s="65"/>
    </row>
    <row r="1732" spans="45:46" x14ac:dyDescent="0.25">
      <c r="AS1732" s="65"/>
      <c r="AT1732" s="65"/>
    </row>
    <row r="1733" spans="45:46" x14ac:dyDescent="0.25">
      <c r="AS1733" s="65"/>
      <c r="AT1733" s="65"/>
    </row>
    <row r="1734" spans="45:46" x14ac:dyDescent="0.25">
      <c r="AS1734" s="65"/>
      <c r="AT1734" s="65"/>
    </row>
    <row r="1735" spans="45:46" x14ac:dyDescent="0.25">
      <c r="AS1735" s="65"/>
      <c r="AT1735" s="65"/>
    </row>
    <row r="1736" spans="45:46" x14ac:dyDescent="0.25">
      <c r="AS1736" s="65"/>
      <c r="AT1736" s="65"/>
    </row>
    <row r="1737" spans="45:46" x14ac:dyDescent="0.25">
      <c r="AS1737" s="65"/>
      <c r="AT1737" s="65"/>
    </row>
    <row r="1738" spans="45:46" x14ac:dyDescent="0.25">
      <c r="AS1738" s="65"/>
      <c r="AT1738" s="65"/>
    </row>
    <row r="1739" spans="45:46" x14ac:dyDescent="0.25">
      <c r="AS1739" s="65"/>
      <c r="AT1739" s="65"/>
    </row>
    <row r="1740" spans="45:46" x14ac:dyDescent="0.25">
      <c r="AS1740" s="65"/>
      <c r="AT1740" s="65"/>
    </row>
    <row r="1741" spans="45:46" x14ac:dyDescent="0.25">
      <c r="AS1741" s="65"/>
      <c r="AT1741" s="65"/>
    </row>
    <row r="1742" spans="45:46" x14ac:dyDescent="0.25">
      <c r="AS1742" s="65"/>
      <c r="AT1742" s="65"/>
    </row>
    <row r="1743" spans="45:46" x14ac:dyDescent="0.25">
      <c r="AS1743" s="65"/>
      <c r="AT1743" s="65"/>
    </row>
    <row r="1744" spans="45:46" x14ac:dyDescent="0.25">
      <c r="AS1744" s="65"/>
      <c r="AT1744" s="65"/>
    </row>
    <row r="1745" spans="45:46" x14ac:dyDescent="0.25">
      <c r="AS1745" s="65"/>
      <c r="AT1745" s="65"/>
    </row>
    <row r="1746" spans="45:46" x14ac:dyDescent="0.25">
      <c r="AS1746" s="65"/>
      <c r="AT1746" s="65"/>
    </row>
    <row r="1747" spans="45:46" x14ac:dyDescent="0.25">
      <c r="AS1747" s="65"/>
      <c r="AT1747" s="65"/>
    </row>
    <row r="1748" spans="45:46" x14ac:dyDescent="0.25">
      <c r="AS1748" s="65"/>
      <c r="AT1748" s="65"/>
    </row>
    <row r="1749" spans="45:46" x14ac:dyDescent="0.25">
      <c r="AS1749" s="65"/>
      <c r="AT1749" s="65"/>
    </row>
    <row r="1750" spans="45:46" x14ac:dyDescent="0.25">
      <c r="AS1750" s="65"/>
      <c r="AT1750" s="65"/>
    </row>
    <row r="1751" spans="45:46" x14ac:dyDescent="0.25">
      <c r="AS1751" s="65"/>
      <c r="AT1751" s="65"/>
    </row>
    <row r="1752" spans="45:46" x14ac:dyDescent="0.25">
      <c r="AS1752" s="65"/>
      <c r="AT1752" s="65"/>
    </row>
    <row r="1753" spans="45:46" x14ac:dyDescent="0.25">
      <c r="AS1753" s="65"/>
      <c r="AT1753" s="65"/>
    </row>
    <row r="1754" spans="45:46" x14ac:dyDescent="0.25">
      <c r="AS1754" s="65"/>
      <c r="AT1754" s="65"/>
    </row>
    <row r="1755" spans="45:46" x14ac:dyDescent="0.25">
      <c r="AS1755" s="65"/>
      <c r="AT1755" s="65"/>
    </row>
    <row r="1756" spans="45:46" x14ac:dyDescent="0.25">
      <c r="AS1756" s="65"/>
      <c r="AT1756" s="65"/>
    </row>
    <row r="1757" spans="45:46" x14ac:dyDescent="0.25">
      <c r="AS1757" s="65"/>
      <c r="AT1757" s="65"/>
    </row>
    <row r="1758" spans="45:46" x14ac:dyDescent="0.25">
      <c r="AS1758" s="65"/>
      <c r="AT1758" s="65"/>
    </row>
    <row r="1759" spans="45:46" x14ac:dyDescent="0.25">
      <c r="AS1759" s="65"/>
      <c r="AT1759" s="65"/>
    </row>
    <row r="1760" spans="45:46" x14ac:dyDescent="0.25">
      <c r="AS1760" s="65"/>
      <c r="AT1760" s="65"/>
    </row>
    <row r="1761" spans="45:46" x14ac:dyDescent="0.25">
      <c r="AS1761" s="65"/>
      <c r="AT1761" s="65"/>
    </row>
    <row r="1762" spans="45:46" x14ac:dyDescent="0.25">
      <c r="AS1762" s="65"/>
      <c r="AT1762" s="65"/>
    </row>
    <row r="1763" spans="45:46" x14ac:dyDescent="0.25">
      <c r="AS1763" s="65"/>
      <c r="AT1763" s="65"/>
    </row>
    <row r="1764" spans="45:46" x14ac:dyDescent="0.25">
      <c r="AS1764" s="65"/>
      <c r="AT1764" s="65"/>
    </row>
    <row r="1765" spans="45:46" x14ac:dyDescent="0.25">
      <c r="AS1765" s="65"/>
      <c r="AT1765" s="65"/>
    </row>
    <row r="1766" spans="45:46" x14ac:dyDescent="0.25">
      <c r="AS1766" s="65"/>
      <c r="AT1766" s="65"/>
    </row>
    <row r="1767" spans="45:46" x14ac:dyDescent="0.25">
      <c r="AS1767" s="65"/>
      <c r="AT1767" s="65"/>
    </row>
    <row r="1768" spans="45:46" x14ac:dyDescent="0.25">
      <c r="AS1768" s="65"/>
      <c r="AT1768" s="65"/>
    </row>
    <row r="1769" spans="45:46" x14ac:dyDescent="0.25">
      <c r="AS1769" s="65"/>
      <c r="AT1769" s="65"/>
    </row>
    <row r="1770" spans="45:46" x14ac:dyDescent="0.25">
      <c r="AS1770" s="65"/>
      <c r="AT1770" s="65"/>
    </row>
    <row r="1771" spans="45:46" x14ac:dyDescent="0.25">
      <c r="AS1771" s="65"/>
      <c r="AT1771" s="65"/>
    </row>
    <row r="1772" spans="45:46" x14ac:dyDescent="0.25">
      <c r="AS1772" s="65"/>
      <c r="AT1772" s="65"/>
    </row>
    <row r="1773" spans="45:46" x14ac:dyDescent="0.25">
      <c r="AS1773" s="65"/>
      <c r="AT1773" s="65"/>
    </row>
    <row r="1774" spans="45:46" x14ac:dyDescent="0.25">
      <c r="AS1774" s="65"/>
      <c r="AT1774" s="65"/>
    </row>
    <row r="1775" spans="45:46" x14ac:dyDescent="0.25">
      <c r="AS1775" s="65"/>
      <c r="AT1775" s="65"/>
    </row>
    <row r="1776" spans="45:46" x14ac:dyDescent="0.25">
      <c r="AS1776" s="65"/>
      <c r="AT1776" s="65"/>
    </row>
    <row r="1777" spans="45:46" x14ac:dyDescent="0.25">
      <c r="AS1777" s="65"/>
      <c r="AT1777" s="65"/>
    </row>
    <row r="1778" spans="45:46" x14ac:dyDescent="0.25">
      <c r="AS1778" s="65"/>
      <c r="AT1778" s="65"/>
    </row>
    <row r="1779" spans="45:46" x14ac:dyDescent="0.25">
      <c r="AS1779" s="65"/>
      <c r="AT1779" s="65"/>
    </row>
    <row r="1780" spans="45:46" x14ac:dyDescent="0.25">
      <c r="AS1780" s="65"/>
      <c r="AT1780" s="65"/>
    </row>
    <row r="1781" spans="45:46" x14ac:dyDescent="0.25">
      <c r="AS1781" s="65"/>
      <c r="AT1781" s="65"/>
    </row>
    <row r="1782" spans="45:46" x14ac:dyDescent="0.25">
      <c r="AS1782" s="65"/>
      <c r="AT1782" s="65"/>
    </row>
    <row r="1783" spans="45:46" x14ac:dyDescent="0.25">
      <c r="AS1783" s="65"/>
      <c r="AT1783" s="65"/>
    </row>
    <row r="1784" spans="45:46" x14ac:dyDescent="0.25">
      <c r="AS1784" s="65"/>
      <c r="AT1784" s="65"/>
    </row>
    <row r="1785" spans="45:46" x14ac:dyDescent="0.25">
      <c r="AS1785" s="65"/>
      <c r="AT1785" s="65"/>
    </row>
    <row r="1786" spans="45:46" x14ac:dyDescent="0.25">
      <c r="AS1786" s="65"/>
      <c r="AT1786" s="65"/>
    </row>
    <row r="1787" spans="45:46" x14ac:dyDescent="0.25">
      <c r="AS1787" s="65"/>
      <c r="AT1787" s="65"/>
    </row>
    <row r="1788" spans="45:46" x14ac:dyDescent="0.25">
      <c r="AS1788" s="65"/>
      <c r="AT1788" s="65"/>
    </row>
    <row r="1789" spans="45:46" x14ac:dyDescent="0.25">
      <c r="AS1789" s="65"/>
      <c r="AT1789" s="65"/>
    </row>
    <row r="1790" spans="45:46" x14ac:dyDescent="0.25">
      <c r="AS1790" s="65"/>
      <c r="AT1790" s="65"/>
    </row>
    <row r="1791" spans="45:46" x14ac:dyDescent="0.25">
      <c r="AS1791" s="65"/>
      <c r="AT1791" s="65"/>
    </row>
    <row r="1792" spans="45:46" x14ac:dyDescent="0.25">
      <c r="AS1792" s="65"/>
      <c r="AT1792" s="65"/>
    </row>
    <row r="1793" spans="45:46" x14ac:dyDescent="0.25">
      <c r="AS1793" s="65"/>
      <c r="AT1793" s="65"/>
    </row>
    <row r="1794" spans="45:46" x14ac:dyDescent="0.25">
      <c r="AS1794" s="65"/>
      <c r="AT1794" s="65"/>
    </row>
    <row r="1795" spans="45:46" x14ac:dyDescent="0.25">
      <c r="AS1795" s="65"/>
      <c r="AT1795" s="65"/>
    </row>
    <row r="1796" spans="45:46" x14ac:dyDescent="0.25">
      <c r="AS1796" s="65"/>
      <c r="AT1796" s="65"/>
    </row>
    <row r="1797" spans="45:46" x14ac:dyDescent="0.25">
      <c r="AS1797" s="65"/>
      <c r="AT1797" s="65"/>
    </row>
    <row r="1798" spans="45:46" x14ac:dyDescent="0.25">
      <c r="AS1798" s="65"/>
      <c r="AT1798" s="65"/>
    </row>
    <row r="1799" spans="45:46" x14ac:dyDescent="0.25">
      <c r="AS1799" s="65"/>
      <c r="AT1799" s="65"/>
    </row>
    <row r="1800" spans="45:46" x14ac:dyDescent="0.25">
      <c r="AS1800" s="65"/>
      <c r="AT1800" s="65"/>
    </row>
    <row r="1801" spans="45:46" x14ac:dyDescent="0.25">
      <c r="AS1801" s="65"/>
      <c r="AT1801" s="65"/>
    </row>
    <row r="1802" spans="45:46" x14ac:dyDescent="0.25">
      <c r="AS1802" s="65"/>
      <c r="AT1802" s="65"/>
    </row>
    <row r="1803" spans="45:46" x14ac:dyDescent="0.25">
      <c r="AS1803" s="65"/>
      <c r="AT1803" s="65"/>
    </row>
    <row r="1804" spans="45:46" x14ac:dyDescent="0.25">
      <c r="AS1804" s="65"/>
      <c r="AT1804" s="65"/>
    </row>
    <row r="1805" spans="45:46" x14ac:dyDescent="0.25">
      <c r="AS1805" s="65"/>
      <c r="AT1805" s="65"/>
    </row>
    <row r="1806" spans="45:46" x14ac:dyDescent="0.25">
      <c r="AS1806" s="65"/>
      <c r="AT1806" s="65"/>
    </row>
    <row r="1807" spans="45:46" x14ac:dyDescent="0.25">
      <c r="AS1807" s="65"/>
      <c r="AT1807" s="65"/>
    </row>
    <row r="1808" spans="45:46" x14ac:dyDescent="0.25">
      <c r="AS1808" s="65"/>
      <c r="AT1808" s="65"/>
    </row>
    <row r="1809" spans="45:46" x14ac:dyDescent="0.25">
      <c r="AS1809" s="65"/>
      <c r="AT1809" s="65"/>
    </row>
    <row r="1810" spans="45:46" x14ac:dyDescent="0.25">
      <c r="AS1810" s="65"/>
      <c r="AT1810" s="65"/>
    </row>
    <row r="1811" spans="45:46" x14ac:dyDescent="0.25">
      <c r="AS1811" s="65"/>
      <c r="AT1811" s="65"/>
    </row>
    <row r="1812" spans="45:46" x14ac:dyDescent="0.25">
      <c r="AS1812" s="65"/>
      <c r="AT1812" s="65"/>
    </row>
    <row r="1813" spans="45:46" x14ac:dyDescent="0.25">
      <c r="AS1813" s="65"/>
      <c r="AT1813" s="65"/>
    </row>
    <row r="1814" spans="45:46" x14ac:dyDescent="0.25">
      <c r="AS1814" s="65"/>
      <c r="AT1814" s="65"/>
    </row>
    <row r="1815" spans="45:46" x14ac:dyDescent="0.25">
      <c r="AS1815" s="65"/>
      <c r="AT1815" s="65"/>
    </row>
    <row r="1816" spans="45:46" x14ac:dyDescent="0.25">
      <c r="AS1816" s="65"/>
      <c r="AT1816" s="65"/>
    </row>
    <row r="1817" spans="45:46" x14ac:dyDescent="0.25">
      <c r="AS1817" s="65"/>
      <c r="AT1817" s="65"/>
    </row>
    <row r="1818" spans="45:46" x14ac:dyDescent="0.25">
      <c r="AS1818" s="65"/>
      <c r="AT1818" s="65"/>
    </row>
    <row r="1819" spans="45:46" x14ac:dyDescent="0.25">
      <c r="AS1819" s="65"/>
      <c r="AT1819" s="65"/>
    </row>
    <row r="1820" spans="45:46" x14ac:dyDescent="0.25">
      <c r="AS1820" s="65"/>
      <c r="AT1820" s="65"/>
    </row>
    <row r="1821" spans="45:46" x14ac:dyDescent="0.25">
      <c r="AS1821" s="65"/>
      <c r="AT1821" s="65"/>
    </row>
    <row r="1822" spans="45:46" x14ac:dyDescent="0.25">
      <c r="AS1822" s="65"/>
      <c r="AT1822" s="65"/>
    </row>
    <row r="1823" spans="45:46" x14ac:dyDescent="0.25">
      <c r="AS1823" s="65"/>
      <c r="AT1823" s="65"/>
    </row>
    <row r="1824" spans="45:46" x14ac:dyDescent="0.25">
      <c r="AS1824" s="65"/>
      <c r="AT1824" s="65"/>
    </row>
    <row r="1825" spans="45:46" x14ac:dyDescent="0.25">
      <c r="AS1825" s="65"/>
      <c r="AT1825" s="65"/>
    </row>
    <row r="1826" spans="45:46" x14ac:dyDescent="0.25">
      <c r="AS1826" s="65"/>
      <c r="AT1826" s="65"/>
    </row>
    <row r="1827" spans="45:46" x14ac:dyDescent="0.25">
      <c r="AS1827" s="65"/>
      <c r="AT1827" s="65"/>
    </row>
    <row r="1828" spans="45:46" x14ac:dyDescent="0.25">
      <c r="AS1828" s="65"/>
      <c r="AT1828" s="65"/>
    </row>
    <row r="1829" spans="45:46" x14ac:dyDescent="0.25">
      <c r="AS1829" s="65"/>
      <c r="AT1829" s="65"/>
    </row>
    <row r="1830" spans="45:46" x14ac:dyDescent="0.25">
      <c r="AS1830" s="65"/>
      <c r="AT1830" s="65"/>
    </row>
    <row r="1831" spans="45:46" x14ac:dyDescent="0.25">
      <c r="AS1831" s="65"/>
      <c r="AT1831" s="65"/>
    </row>
    <row r="1832" spans="45:46" x14ac:dyDescent="0.25">
      <c r="AS1832" s="65"/>
      <c r="AT1832" s="65"/>
    </row>
    <row r="1833" spans="45:46" x14ac:dyDescent="0.25">
      <c r="AS1833" s="65"/>
      <c r="AT1833" s="65"/>
    </row>
    <row r="1834" spans="45:46" x14ac:dyDescent="0.25">
      <c r="AS1834" s="65"/>
      <c r="AT1834" s="65"/>
    </row>
    <row r="1835" spans="45:46" x14ac:dyDescent="0.25">
      <c r="AS1835" s="65"/>
      <c r="AT1835" s="65"/>
    </row>
    <row r="1836" spans="45:46" x14ac:dyDescent="0.25">
      <c r="AS1836" s="65"/>
      <c r="AT1836" s="65"/>
    </row>
    <row r="1837" spans="45:46" x14ac:dyDescent="0.25">
      <c r="AS1837" s="65"/>
      <c r="AT1837" s="65"/>
    </row>
    <row r="1838" spans="45:46" x14ac:dyDescent="0.25">
      <c r="AS1838" s="65"/>
      <c r="AT1838" s="65"/>
    </row>
    <row r="1839" spans="45:46" x14ac:dyDescent="0.25">
      <c r="AS1839" s="65"/>
      <c r="AT1839" s="65"/>
    </row>
    <row r="1840" spans="45:46" x14ac:dyDescent="0.25">
      <c r="AS1840" s="65"/>
      <c r="AT1840" s="65"/>
    </row>
    <row r="1841" spans="45:46" x14ac:dyDescent="0.25">
      <c r="AS1841" s="65"/>
      <c r="AT1841" s="65"/>
    </row>
    <row r="1842" spans="45:46" x14ac:dyDescent="0.25">
      <c r="AS1842" s="65"/>
      <c r="AT1842" s="65"/>
    </row>
    <row r="1843" spans="45:46" x14ac:dyDescent="0.25">
      <c r="AS1843" s="65"/>
      <c r="AT1843" s="65"/>
    </row>
    <row r="1844" spans="45:46" x14ac:dyDescent="0.25">
      <c r="AS1844" s="65"/>
      <c r="AT1844" s="65"/>
    </row>
    <row r="1845" spans="45:46" x14ac:dyDescent="0.25">
      <c r="AS1845" s="65"/>
      <c r="AT1845" s="65"/>
    </row>
    <row r="1846" spans="45:46" x14ac:dyDescent="0.25">
      <c r="AS1846" s="65"/>
      <c r="AT1846" s="65"/>
    </row>
    <row r="1847" spans="45:46" x14ac:dyDescent="0.25">
      <c r="AS1847" s="65"/>
      <c r="AT1847" s="65"/>
    </row>
    <row r="1848" spans="45:46" x14ac:dyDescent="0.25">
      <c r="AS1848" s="65"/>
      <c r="AT1848" s="65"/>
    </row>
    <row r="1849" spans="45:46" x14ac:dyDescent="0.25">
      <c r="AS1849" s="65"/>
      <c r="AT1849" s="65"/>
    </row>
    <row r="1850" spans="45:46" x14ac:dyDescent="0.25">
      <c r="AS1850" s="65"/>
      <c r="AT1850" s="65"/>
    </row>
    <row r="1851" spans="45:46" x14ac:dyDescent="0.25">
      <c r="AS1851" s="65"/>
      <c r="AT1851" s="65"/>
    </row>
    <row r="1852" spans="45:46" x14ac:dyDescent="0.25">
      <c r="AS1852" s="65"/>
      <c r="AT1852" s="65"/>
    </row>
    <row r="1853" spans="45:46" x14ac:dyDescent="0.25">
      <c r="AS1853" s="65"/>
      <c r="AT1853" s="65"/>
    </row>
    <row r="1854" spans="45:46" x14ac:dyDescent="0.25">
      <c r="AS1854" s="65"/>
      <c r="AT1854" s="65"/>
    </row>
    <row r="1855" spans="45:46" x14ac:dyDescent="0.25">
      <c r="AS1855" s="65"/>
      <c r="AT1855" s="65"/>
    </row>
    <row r="1856" spans="45:46" x14ac:dyDescent="0.25">
      <c r="AS1856" s="65"/>
      <c r="AT1856" s="65"/>
    </row>
    <row r="1857" spans="45:46" x14ac:dyDescent="0.25">
      <c r="AS1857" s="65"/>
      <c r="AT1857" s="65"/>
    </row>
    <row r="1858" spans="45:46" x14ac:dyDescent="0.25">
      <c r="AS1858" s="65"/>
      <c r="AT1858" s="65"/>
    </row>
    <row r="1859" spans="45:46" x14ac:dyDescent="0.25">
      <c r="AS1859" s="65"/>
      <c r="AT1859" s="65"/>
    </row>
    <row r="1860" spans="45:46" x14ac:dyDescent="0.25">
      <c r="AS1860" s="65"/>
      <c r="AT1860" s="65"/>
    </row>
    <row r="1861" spans="45:46" x14ac:dyDescent="0.25">
      <c r="AS1861" s="65"/>
      <c r="AT1861" s="65"/>
    </row>
    <row r="1862" spans="45:46" x14ac:dyDescent="0.25">
      <c r="AS1862" s="65"/>
      <c r="AT1862" s="65"/>
    </row>
    <row r="1863" spans="45:46" x14ac:dyDescent="0.25">
      <c r="AS1863" s="65"/>
      <c r="AT1863" s="65"/>
    </row>
    <row r="1864" spans="45:46" x14ac:dyDescent="0.25">
      <c r="AS1864" s="65"/>
      <c r="AT1864" s="65"/>
    </row>
    <row r="1865" spans="45:46" x14ac:dyDescent="0.25">
      <c r="AS1865" s="65"/>
      <c r="AT1865" s="65"/>
    </row>
    <row r="1866" spans="45:46" x14ac:dyDescent="0.25">
      <c r="AS1866" s="65"/>
      <c r="AT1866" s="65"/>
    </row>
    <row r="1867" spans="45:46" x14ac:dyDescent="0.25">
      <c r="AS1867" s="65"/>
      <c r="AT1867" s="65"/>
    </row>
    <row r="1868" spans="45:46" x14ac:dyDescent="0.25">
      <c r="AS1868" s="65"/>
      <c r="AT1868" s="65"/>
    </row>
    <row r="1869" spans="45:46" x14ac:dyDescent="0.25">
      <c r="AS1869" s="65"/>
      <c r="AT1869" s="65"/>
    </row>
    <row r="1870" spans="45:46" x14ac:dyDescent="0.25">
      <c r="AS1870" s="65"/>
      <c r="AT1870" s="65"/>
    </row>
    <row r="1871" spans="45:46" x14ac:dyDescent="0.25">
      <c r="AS1871" s="65"/>
      <c r="AT1871" s="65"/>
    </row>
    <row r="1872" spans="45:46" x14ac:dyDescent="0.25">
      <c r="AS1872" s="65"/>
      <c r="AT1872" s="65"/>
    </row>
    <row r="1873" spans="45:46" x14ac:dyDescent="0.25">
      <c r="AS1873" s="65"/>
      <c r="AT1873" s="65"/>
    </row>
    <row r="1874" spans="45:46" x14ac:dyDescent="0.25">
      <c r="AS1874" s="65"/>
      <c r="AT1874" s="65"/>
    </row>
    <row r="1875" spans="45:46" x14ac:dyDescent="0.25">
      <c r="AS1875" s="65"/>
      <c r="AT1875" s="65"/>
    </row>
    <row r="1876" spans="45:46" x14ac:dyDescent="0.25">
      <c r="AS1876" s="65"/>
      <c r="AT1876" s="65"/>
    </row>
    <row r="1877" spans="45:46" x14ac:dyDescent="0.25">
      <c r="AS1877" s="65"/>
      <c r="AT1877" s="65"/>
    </row>
    <row r="1878" spans="45:46" x14ac:dyDescent="0.25">
      <c r="AS1878" s="65"/>
      <c r="AT1878" s="65"/>
    </row>
    <row r="1879" spans="45:46" x14ac:dyDescent="0.25">
      <c r="AS1879" s="65"/>
      <c r="AT1879" s="65"/>
    </row>
    <row r="1880" spans="45:46" x14ac:dyDescent="0.25">
      <c r="AS1880" s="65"/>
      <c r="AT1880" s="65"/>
    </row>
    <row r="1881" spans="45:46" x14ac:dyDescent="0.25">
      <c r="AS1881" s="65"/>
      <c r="AT1881" s="65"/>
    </row>
    <row r="1882" spans="45:46" x14ac:dyDescent="0.25">
      <c r="AS1882" s="65"/>
      <c r="AT1882" s="65"/>
    </row>
    <row r="1883" spans="45:46" x14ac:dyDescent="0.25">
      <c r="AS1883" s="65"/>
      <c r="AT1883" s="65"/>
    </row>
    <row r="1884" spans="45:46" x14ac:dyDescent="0.25">
      <c r="AS1884" s="65"/>
      <c r="AT1884" s="65"/>
    </row>
    <row r="1885" spans="45:46" x14ac:dyDescent="0.25">
      <c r="AS1885" s="65"/>
      <c r="AT1885" s="65"/>
    </row>
    <row r="1886" spans="45:46" x14ac:dyDescent="0.25">
      <c r="AS1886" s="65"/>
      <c r="AT1886" s="65"/>
    </row>
    <row r="1887" spans="45:46" x14ac:dyDescent="0.25">
      <c r="AS1887" s="65"/>
      <c r="AT1887" s="65"/>
    </row>
    <row r="1888" spans="45:46" x14ac:dyDescent="0.25">
      <c r="AS1888" s="65"/>
      <c r="AT1888" s="65"/>
    </row>
    <row r="1889" spans="45:46" x14ac:dyDescent="0.25">
      <c r="AS1889" s="65"/>
      <c r="AT1889" s="65"/>
    </row>
    <row r="1890" spans="45:46" x14ac:dyDescent="0.25">
      <c r="AS1890" s="65"/>
      <c r="AT1890" s="65"/>
    </row>
    <row r="1891" spans="45:46" x14ac:dyDescent="0.25">
      <c r="AS1891" s="65"/>
      <c r="AT1891" s="65"/>
    </row>
    <row r="1892" spans="45:46" x14ac:dyDescent="0.25">
      <c r="AS1892" s="65"/>
      <c r="AT1892" s="65"/>
    </row>
    <row r="1893" spans="45:46" x14ac:dyDescent="0.25">
      <c r="AS1893" s="65"/>
      <c r="AT1893" s="65"/>
    </row>
    <row r="1894" spans="45:46" x14ac:dyDescent="0.25">
      <c r="AS1894" s="65"/>
      <c r="AT1894" s="65"/>
    </row>
    <row r="1895" spans="45:46" x14ac:dyDescent="0.25">
      <c r="AS1895" s="65"/>
      <c r="AT1895" s="65"/>
    </row>
    <row r="1896" spans="45:46" x14ac:dyDescent="0.25">
      <c r="AS1896" s="65"/>
      <c r="AT1896" s="65"/>
    </row>
    <row r="1897" spans="45:46" x14ac:dyDescent="0.25">
      <c r="AS1897" s="65"/>
      <c r="AT1897" s="65"/>
    </row>
    <row r="1898" spans="45:46" x14ac:dyDescent="0.25">
      <c r="AS1898" s="65"/>
      <c r="AT1898" s="65"/>
    </row>
    <row r="1899" spans="45:46" x14ac:dyDescent="0.25">
      <c r="AS1899" s="65"/>
      <c r="AT1899" s="65"/>
    </row>
    <row r="1900" spans="45:46" x14ac:dyDescent="0.25">
      <c r="AS1900" s="65"/>
      <c r="AT1900" s="65"/>
    </row>
    <row r="1901" spans="45:46" x14ac:dyDescent="0.25">
      <c r="AS1901" s="65"/>
      <c r="AT1901" s="65"/>
    </row>
    <row r="1902" spans="45:46" x14ac:dyDescent="0.25">
      <c r="AS1902" s="65"/>
      <c r="AT1902" s="65"/>
    </row>
    <row r="1903" spans="45:46" x14ac:dyDescent="0.25">
      <c r="AS1903" s="65"/>
      <c r="AT1903" s="65"/>
    </row>
    <row r="1904" spans="45:46" x14ac:dyDescent="0.25">
      <c r="AS1904" s="65"/>
      <c r="AT1904" s="65"/>
    </row>
    <row r="1905" spans="45:46" x14ac:dyDescent="0.25">
      <c r="AS1905" s="65"/>
      <c r="AT1905" s="65"/>
    </row>
    <row r="1906" spans="45:46" x14ac:dyDescent="0.25">
      <c r="AS1906" s="65"/>
      <c r="AT1906" s="65"/>
    </row>
    <row r="1907" spans="45:46" x14ac:dyDescent="0.25">
      <c r="AS1907" s="65"/>
      <c r="AT1907" s="65"/>
    </row>
    <row r="1908" spans="45:46" x14ac:dyDescent="0.25">
      <c r="AS1908" s="65"/>
      <c r="AT1908" s="65"/>
    </row>
    <row r="1909" spans="45:46" x14ac:dyDescent="0.25">
      <c r="AS1909" s="65"/>
      <c r="AT1909" s="65"/>
    </row>
    <row r="1910" spans="45:46" x14ac:dyDescent="0.25">
      <c r="AS1910" s="65"/>
      <c r="AT1910" s="65"/>
    </row>
    <row r="1911" spans="45:46" x14ac:dyDescent="0.25">
      <c r="AS1911" s="65"/>
      <c r="AT1911" s="65"/>
    </row>
    <row r="1912" spans="45:46" x14ac:dyDescent="0.25">
      <c r="AS1912" s="65"/>
      <c r="AT1912" s="65"/>
    </row>
    <row r="1913" spans="45:46" x14ac:dyDescent="0.25">
      <c r="AS1913" s="65"/>
      <c r="AT1913" s="65"/>
    </row>
    <row r="1914" spans="45:46" x14ac:dyDescent="0.25">
      <c r="AS1914" s="65"/>
      <c r="AT1914" s="65"/>
    </row>
    <row r="1915" spans="45:46" x14ac:dyDescent="0.25">
      <c r="AS1915" s="65"/>
      <c r="AT1915" s="65"/>
    </row>
    <row r="1916" spans="45:46" x14ac:dyDescent="0.25">
      <c r="AS1916" s="65"/>
      <c r="AT1916" s="65"/>
    </row>
    <row r="1917" spans="45:46" x14ac:dyDescent="0.25">
      <c r="AS1917" s="65"/>
      <c r="AT1917" s="65"/>
    </row>
    <row r="1918" spans="45:46" x14ac:dyDescent="0.25">
      <c r="AS1918" s="65"/>
      <c r="AT1918" s="65"/>
    </row>
    <row r="1919" spans="45:46" x14ac:dyDescent="0.25">
      <c r="AS1919" s="65"/>
      <c r="AT1919" s="65"/>
    </row>
    <row r="1920" spans="45:46" x14ac:dyDescent="0.25">
      <c r="AS1920" s="65"/>
      <c r="AT1920" s="65"/>
    </row>
    <row r="1921" spans="45:46" x14ac:dyDescent="0.25">
      <c r="AS1921" s="65"/>
      <c r="AT1921" s="65"/>
    </row>
    <row r="1922" spans="45:46" x14ac:dyDescent="0.25">
      <c r="AS1922" s="65"/>
      <c r="AT1922" s="65"/>
    </row>
    <row r="1923" spans="45:46" x14ac:dyDescent="0.25">
      <c r="AS1923" s="65"/>
      <c r="AT1923" s="65"/>
    </row>
    <row r="1924" spans="45:46" x14ac:dyDescent="0.25">
      <c r="AS1924" s="65"/>
      <c r="AT1924" s="65"/>
    </row>
    <row r="1925" spans="45:46" x14ac:dyDescent="0.25">
      <c r="AS1925" s="65"/>
      <c r="AT1925" s="65"/>
    </row>
    <row r="1926" spans="45:46" x14ac:dyDescent="0.25">
      <c r="AS1926" s="65"/>
      <c r="AT1926" s="65"/>
    </row>
    <row r="1927" spans="45:46" x14ac:dyDescent="0.25">
      <c r="AS1927" s="65"/>
      <c r="AT1927" s="65"/>
    </row>
    <row r="1928" spans="45:46" x14ac:dyDescent="0.25">
      <c r="AS1928" s="65"/>
      <c r="AT1928" s="65"/>
    </row>
    <row r="1929" spans="45:46" x14ac:dyDescent="0.25">
      <c r="AS1929" s="65"/>
      <c r="AT1929" s="65"/>
    </row>
    <row r="1930" spans="45:46" x14ac:dyDescent="0.25">
      <c r="AS1930" s="65"/>
      <c r="AT1930" s="65"/>
    </row>
    <row r="1931" spans="45:46" x14ac:dyDescent="0.25">
      <c r="AS1931" s="65"/>
      <c r="AT1931" s="65"/>
    </row>
    <row r="1932" spans="45:46" x14ac:dyDescent="0.25">
      <c r="AS1932" s="65"/>
      <c r="AT1932" s="65"/>
    </row>
    <row r="1933" spans="45:46" x14ac:dyDescent="0.25">
      <c r="AS1933" s="65"/>
      <c r="AT1933" s="65"/>
    </row>
    <row r="1934" spans="45:46" x14ac:dyDescent="0.25">
      <c r="AS1934" s="65"/>
      <c r="AT1934" s="65"/>
    </row>
    <row r="1935" spans="45:46" x14ac:dyDescent="0.25">
      <c r="AS1935" s="65"/>
      <c r="AT1935" s="65"/>
    </row>
    <row r="1936" spans="45:46" x14ac:dyDescent="0.25">
      <c r="AS1936" s="65"/>
      <c r="AT1936" s="65"/>
    </row>
    <row r="1937" spans="45:46" x14ac:dyDescent="0.25">
      <c r="AS1937" s="65"/>
      <c r="AT1937" s="65"/>
    </row>
    <row r="1938" spans="45:46" x14ac:dyDescent="0.25">
      <c r="AS1938" s="65"/>
      <c r="AT1938" s="65"/>
    </row>
    <row r="1939" spans="45:46" x14ac:dyDescent="0.25">
      <c r="AS1939" s="65"/>
      <c r="AT1939" s="65"/>
    </row>
    <row r="1940" spans="45:46" x14ac:dyDescent="0.25">
      <c r="AS1940" s="65"/>
      <c r="AT1940" s="65"/>
    </row>
    <row r="1941" spans="45:46" x14ac:dyDescent="0.25">
      <c r="AS1941" s="65"/>
      <c r="AT1941" s="65"/>
    </row>
    <row r="1942" spans="45:46" x14ac:dyDescent="0.25">
      <c r="AS1942" s="65"/>
      <c r="AT1942" s="65"/>
    </row>
    <row r="1943" spans="45:46" x14ac:dyDescent="0.25">
      <c r="AS1943" s="65"/>
      <c r="AT1943" s="65"/>
    </row>
    <row r="1944" spans="45:46" x14ac:dyDescent="0.25">
      <c r="AS1944" s="65"/>
      <c r="AT1944" s="65"/>
    </row>
    <row r="1945" spans="45:46" x14ac:dyDescent="0.25">
      <c r="AS1945" s="65"/>
      <c r="AT1945" s="65"/>
    </row>
    <row r="1946" spans="45:46" x14ac:dyDescent="0.25">
      <c r="AS1946" s="65"/>
      <c r="AT1946" s="65"/>
    </row>
    <row r="1947" spans="45:46" x14ac:dyDescent="0.25">
      <c r="AS1947" s="65"/>
      <c r="AT1947" s="65"/>
    </row>
    <row r="1948" spans="45:46" x14ac:dyDescent="0.25">
      <c r="AS1948" s="65"/>
      <c r="AT1948" s="65"/>
    </row>
    <row r="1949" spans="45:46" x14ac:dyDescent="0.25">
      <c r="AS1949" s="65"/>
      <c r="AT1949" s="65"/>
    </row>
    <row r="1950" spans="45:46" x14ac:dyDescent="0.25">
      <c r="AS1950" s="65"/>
      <c r="AT1950" s="65"/>
    </row>
    <row r="1951" spans="45:46" x14ac:dyDescent="0.25">
      <c r="AS1951" s="65"/>
      <c r="AT1951" s="65"/>
    </row>
    <row r="1952" spans="45:46" x14ac:dyDescent="0.25">
      <c r="AS1952" s="65"/>
      <c r="AT1952" s="65"/>
    </row>
    <row r="1953" spans="45:46" x14ac:dyDescent="0.25">
      <c r="AS1953" s="65"/>
      <c r="AT1953" s="65"/>
    </row>
    <row r="1954" spans="45:46" x14ac:dyDescent="0.25">
      <c r="AS1954" s="65"/>
      <c r="AT1954" s="65"/>
    </row>
    <row r="1955" spans="45:46" x14ac:dyDescent="0.25">
      <c r="AS1955" s="65"/>
      <c r="AT1955" s="65"/>
    </row>
    <row r="1956" spans="45:46" x14ac:dyDescent="0.25">
      <c r="AS1956" s="65"/>
      <c r="AT1956" s="65"/>
    </row>
    <row r="1957" spans="45:46" x14ac:dyDescent="0.25">
      <c r="AS1957" s="65"/>
      <c r="AT1957" s="65"/>
    </row>
    <row r="1958" spans="45:46" x14ac:dyDescent="0.25">
      <c r="AS1958" s="65"/>
      <c r="AT1958" s="65"/>
    </row>
    <row r="1959" spans="45:46" x14ac:dyDescent="0.25">
      <c r="AS1959" s="65"/>
      <c r="AT1959" s="65"/>
    </row>
    <row r="1960" spans="45:46" x14ac:dyDescent="0.25">
      <c r="AS1960" s="65"/>
      <c r="AT1960" s="65"/>
    </row>
    <row r="1961" spans="45:46" x14ac:dyDescent="0.25">
      <c r="AS1961" s="65"/>
      <c r="AT1961" s="65"/>
    </row>
    <row r="1962" spans="45:46" x14ac:dyDescent="0.25">
      <c r="AS1962" s="65"/>
      <c r="AT1962" s="65"/>
    </row>
    <row r="1963" spans="45:46" x14ac:dyDescent="0.25">
      <c r="AS1963" s="65"/>
      <c r="AT1963" s="65"/>
    </row>
    <row r="1964" spans="45:46" x14ac:dyDescent="0.25">
      <c r="AS1964" s="65"/>
      <c r="AT1964" s="65"/>
    </row>
    <row r="1965" spans="45:46" x14ac:dyDescent="0.25">
      <c r="AS1965" s="65"/>
      <c r="AT1965" s="65"/>
    </row>
    <row r="1966" spans="45:46" x14ac:dyDescent="0.25">
      <c r="AS1966" s="65"/>
      <c r="AT1966" s="65"/>
    </row>
    <row r="1967" spans="45:46" x14ac:dyDescent="0.25">
      <c r="AS1967" s="65"/>
      <c r="AT1967" s="65"/>
    </row>
    <row r="1968" spans="45:46" x14ac:dyDescent="0.25">
      <c r="AS1968" s="65"/>
      <c r="AT1968" s="65"/>
    </row>
    <row r="1969" spans="45:46" x14ac:dyDescent="0.25">
      <c r="AS1969" s="65"/>
      <c r="AT1969" s="65"/>
    </row>
    <row r="1970" spans="45:46" x14ac:dyDescent="0.25">
      <c r="AS1970" s="65"/>
      <c r="AT1970" s="65"/>
    </row>
    <row r="1971" spans="45:46" x14ac:dyDescent="0.25">
      <c r="AS1971" s="65"/>
      <c r="AT1971" s="65"/>
    </row>
    <row r="1972" spans="45:46" x14ac:dyDescent="0.25">
      <c r="AS1972" s="65"/>
      <c r="AT1972" s="65"/>
    </row>
    <row r="1973" spans="45:46" x14ac:dyDescent="0.25">
      <c r="AS1973" s="65"/>
      <c r="AT1973" s="65"/>
    </row>
    <row r="1974" spans="45:46" x14ac:dyDescent="0.25">
      <c r="AS1974" s="65"/>
      <c r="AT1974" s="65"/>
    </row>
    <row r="1975" spans="45:46" x14ac:dyDescent="0.25">
      <c r="AS1975" s="65"/>
      <c r="AT1975" s="65"/>
    </row>
    <row r="1976" spans="45:46" x14ac:dyDescent="0.25">
      <c r="AS1976" s="65"/>
      <c r="AT1976" s="65"/>
    </row>
    <row r="1977" spans="45:46" x14ac:dyDescent="0.25">
      <c r="AS1977" s="65"/>
      <c r="AT1977" s="65"/>
    </row>
    <row r="1978" spans="45:46" x14ac:dyDescent="0.25">
      <c r="AS1978" s="65"/>
      <c r="AT1978" s="65"/>
    </row>
    <row r="1979" spans="45:46" x14ac:dyDescent="0.25">
      <c r="AS1979" s="65"/>
      <c r="AT1979" s="65"/>
    </row>
    <row r="1980" spans="45:46" x14ac:dyDescent="0.25">
      <c r="AS1980" s="65"/>
      <c r="AT1980" s="65"/>
    </row>
    <row r="1981" spans="45:46" x14ac:dyDescent="0.25">
      <c r="AS1981" s="65"/>
      <c r="AT1981" s="65"/>
    </row>
    <row r="1982" spans="45:46" x14ac:dyDescent="0.25">
      <c r="AS1982" s="65"/>
      <c r="AT1982" s="65"/>
    </row>
    <row r="1983" spans="45:46" x14ac:dyDescent="0.25">
      <c r="AS1983" s="65"/>
      <c r="AT1983" s="65"/>
    </row>
    <row r="1984" spans="45:46" x14ac:dyDescent="0.25">
      <c r="AS1984" s="65"/>
      <c r="AT1984" s="65"/>
    </row>
    <row r="1985" spans="45:46" x14ac:dyDescent="0.25">
      <c r="AS1985" s="65"/>
      <c r="AT1985" s="65"/>
    </row>
    <row r="1986" spans="45:46" x14ac:dyDescent="0.25">
      <c r="AS1986" s="65"/>
      <c r="AT1986" s="65"/>
    </row>
    <row r="1987" spans="45:46" x14ac:dyDescent="0.25">
      <c r="AS1987" s="65"/>
      <c r="AT1987" s="65"/>
    </row>
    <row r="1988" spans="45:46" x14ac:dyDescent="0.25">
      <c r="AS1988" s="65"/>
      <c r="AT1988" s="65"/>
    </row>
    <row r="1989" spans="45:46" x14ac:dyDescent="0.25">
      <c r="AS1989" s="65"/>
      <c r="AT1989" s="65"/>
    </row>
    <row r="1990" spans="45:46" x14ac:dyDescent="0.25">
      <c r="AS1990" s="65"/>
      <c r="AT1990" s="65"/>
    </row>
    <row r="1991" spans="45:46" x14ac:dyDescent="0.25">
      <c r="AS1991" s="65"/>
      <c r="AT1991" s="65"/>
    </row>
    <row r="1992" spans="45:46" x14ac:dyDescent="0.25">
      <c r="AS1992" s="65"/>
      <c r="AT1992" s="65"/>
    </row>
    <row r="1993" spans="45:46" x14ac:dyDescent="0.25">
      <c r="AS1993" s="65"/>
      <c r="AT1993" s="65"/>
    </row>
    <row r="1994" spans="45:46" x14ac:dyDescent="0.25">
      <c r="AS1994" s="65"/>
      <c r="AT1994" s="65"/>
    </row>
    <row r="1995" spans="45:46" x14ac:dyDescent="0.25">
      <c r="AS1995" s="65"/>
      <c r="AT1995" s="65"/>
    </row>
    <row r="1996" spans="45:46" x14ac:dyDescent="0.25">
      <c r="AS1996" s="65"/>
      <c r="AT1996" s="65"/>
    </row>
    <row r="1997" spans="45:46" x14ac:dyDescent="0.25">
      <c r="AS1997" s="65"/>
      <c r="AT1997" s="65"/>
    </row>
    <row r="1998" spans="45:46" x14ac:dyDescent="0.25">
      <c r="AS1998" s="65"/>
      <c r="AT1998" s="65"/>
    </row>
    <row r="1999" spans="45:46" x14ac:dyDescent="0.25">
      <c r="AS1999" s="65"/>
      <c r="AT1999" s="65"/>
    </row>
    <row r="2000" spans="45:46" x14ac:dyDescent="0.25">
      <c r="AS2000" s="65"/>
      <c r="AT2000" s="65"/>
    </row>
    <row r="2001" spans="45:46" x14ac:dyDescent="0.25">
      <c r="AS2001" s="65"/>
      <c r="AT2001" s="65"/>
    </row>
    <row r="2002" spans="45:46" x14ac:dyDescent="0.25">
      <c r="AS2002" s="65"/>
      <c r="AT2002" s="65"/>
    </row>
    <row r="2003" spans="45:46" x14ac:dyDescent="0.25">
      <c r="AS2003" s="65"/>
      <c r="AT2003" s="65"/>
    </row>
    <row r="2004" spans="45:46" x14ac:dyDescent="0.25">
      <c r="AS2004" s="65"/>
      <c r="AT2004" s="65"/>
    </row>
    <row r="2005" spans="45:46" x14ac:dyDescent="0.25">
      <c r="AS2005" s="65"/>
      <c r="AT2005" s="65"/>
    </row>
    <row r="2006" spans="45:46" x14ac:dyDescent="0.25">
      <c r="AS2006" s="65"/>
      <c r="AT2006" s="65"/>
    </row>
    <row r="2007" spans="45:46" x14ac:dyDescent="0.25">
      <c r="AS2007" s="65"/>
      <c r="AT2007" s="65"/>
    </row>
    <row r="2008" spans="45:46" x14ac:dyDescent="0.25">
      <c r="AS2008" s="65"/>
      <c r="AT2008" s="65"/>
    </row>
    <row r="2009" spans="45:46" x14ac:dyDescent="0.25">
      <c r="AS2009" s="65"/>
      <c r="AT2009" s="65"/>
    </row>
    <row r="2010" spans="45:46" x14ac:dyDescent="0.25">
      <c r="AS2010" s="65"/>
      <c r="AT2010" s="65"/>
    </row>
    <row r="2011" spans="45:46" x14ac:dyDescent="0.25">
      <c r="AS2011" s="65"/>
      <c r="AT2011" s="65"/>
    </row>
    <row r="2012" spans="45:46" x14ac:dyDescent="0.25">
      <c r="AS2012" s="65"/>
      <c r="AT2012" s="65"/>
    </row>
    <row r="2013" spans="45:46" x14ac:dyDescent="0.25">
      <c r="AS2013" s="65"/>
      <c r="AT2013" s="65"/>
    </row>
    <row r="2014" spans="45:46" x14ac:dyDescent="0.25">
      <c r="AS2014" s="65"/>
      <c r="AT2014" s="65"/>
    </row>
    <row r="2015" spans="45:46" x14ac:dyDescent="0.25">
      <c r="AS2015" s="65"/>
      <c r="AT2015" s="65"/>
    </row>
    <row r="2016" spans="45:46" x14ac:dyDescent="0.25">
      <c r="AS2016" s="65"/>
      <c r="AT2016" s="65"/>
    </row>
    <row r="2017" spans="45:46" x14ac:dyDescent="0.25">
      <c r="AS2017" s="65"/>
      <c r="AT2017" s="65"/>
    </row>
    <row r="2018" spans="45:46" x14ac:dyDescent="0.25">
      <c r="AS2018" s="65"/>
      <c r="AT2018" s="65"/>
    </row>
    <row r="2019" spans="45:46" x14ac:dyDescent="0.25">
      <c r="AS2019" s="65"/>
      <c r="AT2019" s="65"/>
    </row>
    <row r="2020" spans="45:46" x14ac:dyDescent="0.25">
      <c r="AS2020" s="65"/>
      <c r="AT2020" s="65"/>
    </row>
    <row r="2021" spans="45:46" x14ac:dyDescent="0.25">
      <c r="AS2021" s="65"/>
      <c r="AT2021" s="65"/>
    </row>
    <row r="2022" spans="45:46" x14ac:dyDescent="0.25">
      <c r="AS2022" s="65"/>
      <c r="AT2022" s="65"/>
    </row>
    <row r="2023" spans="45:46" x14ac:dyDescent="0.25">
      <c r="AS2023" s="65"/>
      <c r="AT2023" s="65"/>
    </row>
    <row r="2024" spans="45:46" x14ac:dyDescent="0.25">
      <c r="AS2024" s="65"/>
      <c r="AT2024" s="65"/>
    </row>
    <row r="2025" spans="45:46" x14ac:dyDescent="0.25">
      <c r="AS2025" s="65"/>
      <c r="AT2025" s="65"/>
    </row>
    <row r="2026" spans="45:46" x14ac:dyDescent="0.25">
      <c r="AS2026" s="65"/>
      <c r="AT2026" s="65"/>
    </row>
    <row r="2027" spans="45:46" x14ac:dyDescent="0.25">
      <c r="AS2027" s="65"/>
      <c r="AT2027" s="65"/>
    </row>
    <row r="2028" spans="45:46" x14ac:dyDescent="0.25">
      <c r="AS2028" s="65"/>
      <c r="AT2028" s="65"/>
    </row>
    <row r="2029" spans="45:46" x14ac:dyDescent="0.25">
      <c r="AS2029" s="65"/>
      <c r="AT2029" s="65"/>
    </row>
    <row r="2030" spans="45:46" x14ac:dyDescent="0.25">
      <c r="AS2030" s="65"/>
      <c r="AT2030" s="65"/>
    </row>
    <row r="2031" spans="45:46" x14ac:dyDescent="0.25">
      <c r="AS2031" s="65"/>
      <c r="AT2031" s="65"/>
    </row>
    <row r="2032" spans="45:46" x14ac:dyDescent="0.25">
      <c r="AS2032" s="65"/>
      <c r="AT2032" s="65"/>
    </row>
    <row r="2033" spans="45:46" x14ac:dyDescent="0.25">
      <c r="AS2033" s="65"/>
      <c r="AT2033" s="65"/>
    </row>
    <row r="2034" spans="45:46" x14ac:dyDescent="0.25">
      <c r="AS2034" s="65"/>
      <c r="AT2034" s="65"/>
    </row>
    <row r="2035" spans="45:46" x14ac:dyDescent="0.25">
      <c r="AS2035" s="65"/>
      <c r="AT2035" s="65"/>
    </row>
    <row r="2036" spans="45:46" x14ac:dyDescent="0.25">
      <c r="AS2036" s="65"/>
      <c r="AT2036" s="65"/>
    </row>
    <row r="2037" spans="45:46" x14ac:dyDescent="0.25">
      <c r="AS2037" s="65"/>
      <c r="AT2037" s="65"/>
    </row>
    <row r="2038" spans="45:46" x14ac:dyDescent="0.25">
      <c r="AS2038" s="65"/>
      <c r="AT2038" s="65"/>
    </row>
    <row r="2039" spans="45:46" x14ac:dyDescent="0.25">
      <c r="AS2039" s="65"/>
      <c r="AT2039" s="65"/>
    </row>
    <row r="2040" spans="45:46" x14ac:dyDescent="0.25">
      <c r="AS2040" s="65"/>
      <c r="AT2040" s="65"/>
    </row>
    <row r="2041" spans="45:46" x14ac:dyDescent="0.25">
      <c r="AS2041" s="65"/>
      <c r="AT2041" s="65"/>
    </row>
    <row r="2042" spans="45:46" x14ac:dyDescent="0.25">
      <c r="AS2042" s="65"/>
      <c r="AT2042" s="65"/>
    </row>
    <row r="2043" spans="45:46" x14ac:dyDescent="0.25">
      <c r="AS2043" s="65"/>
      <c r="AT2043" s="65"/>
    </row>
    <row r="2044" spans="45:46" x14ac:dyDescent="0.25">
      <c r="AS2044" s="65"/>
      <c r="AT2044" s="65"/>
    </row>
    <row r="2045" spans="45:46" x14ac:dyDescent="0.25">
      <c r="AS2045" s="65"/>
      <c r="AT2045" s="65"/>
    </row>
    <row r="2046" spans="45:46" x14ac:dyDescent="0.25">
      <c r="AS2046" s="65"/>
      <c r="AT2046" s="65"/>
    </row>
    <row r="2047" spans="45:46" x14ac:dyDescent="0.25">
      <c r="AS2047" s="65"/>
      <c r="AT2047" s="65"/>
    </row>
    <row r="2048" spans="45:46" x14ac:dyDescent="0.25">
      <c r="AS2048" s="65"/>
      <c r="AT2048" s="65"/>
    </row>
    <row r="2049" spans="45:46" x14ac:dyDescent="0.25">
      <c r="AS2049" s="65"/>
      <c r="AT2049" s="65"/>
    </row>
    <row r="2050" spans="45:46" x14ac:dyDescent="0.25">
      <c r="AS2050" s="65"/>
      <c r="AT2050" s="65"/>
    </row>
    <row r="2051" spans="45:46" x14ac:dyDescent="0.25">
      <c r="AS2051" s="65"/>
      <c r="AT2051" s="65"/>
    </row>
    <row r="2052" spans="45:46" x14ac:dyDescent="0.25">
      <c r="AS2052" s="65"/>
      <c r="AT2052" s="65"/>
    </row>
    <row r="2053" spans="45:46" x14ac:dyDescent="0.25">
      <c r="AS2053" s="65"/>
      <c r="AT2053" s="65"/>
    </row>
    <row r="2054" spans="45:46" x14ac:dyDescent="0.25">
      <c r="AS2054" s="65"/>
      <c r="AT2054" s="65"/>
    </row>
    <row r="2055" spans="45:46" x14ac:dyDescent="0.25">
      <c r="AS2055" s="65"/>
      <c r="AT2055" s="65"/>
    </row>
    <row r="2056" spans="45:46" x14ac:dyDescent="0.25">
      <c r="AS2056" s="65"/>
      <c r="AT2056" s="65"/>
    </row>
    <row r="2057" spans="45:46" x14ac:dyDescent="0.25">
      <c r="AS2057" s="65"/>
      <c r="AT2057" s="65"/>
    </row>
    <row r="2058" spans="45:46" x14ac:dyDescent="0.25">
      <c r="AS2058" s="65"/>
      <c r="AT2058" s="65"/>
    </row>
    <row r="2059" spans="45:46" x14ac:dyDescent="0.25">
      <c r="AS2059" s="65"/>
      <c r="AT2059" s="65"/>
    </row>
    <row r="2060" spans="45:46" x14ac:dyDescent="0.25">
      <c r="AS2060" s="65"/>
      <c r="AT2060" s="65"/>
    </row>
    <row r="2061" spans="45:46" x14ac:dyDescent="0.25">
      <c r="AS2061" s="65"/>
      <c r="AT2061" s="65"/>
    </row>
    <row r="2062" spans="45:46" x14ac:dyDescent="0.25">
      <c r="AS2062" s="65"/>
      <c r="AT2062" s="65"/>
    </row>
    <row r="2063" spans="45:46" x14ac:dyDescent="0.25">
      <c r="AS2063" s="65"/>
      <c r="AT2063" s="65"/>
    </row>
    <row r="2064" spans="45:46" x14ac:dyDescent="0.25">
      <c r="AS2064" s="65"/>
      <c r="AT2064" s="65"/>
    </row>
    <row r="2065" spans="45:46" x14ac:dyDescent="0.25">
      <c r="AS2065" s="65"/>
      <c r="AT2065" s="65"/>
    </row>
    <row r="2066" spans="45:46" x14ac:dyDescent="0.25">
      <c r="AS2066" s="65"/>
      <c r="AT2066" s="65"/>
    </row>
    <row r="2067" spans="45:46" x14ac:dyDescent="0.25">
      <c r="AS2067" s="65"/>
      <c r="AT2067" s="65"/>
    </row>
    <row r="2068" spans="45:46" x14ac:dyDescent="0.25">
      <c r="AS2068" s="65"/>
      <c r="AT2068" s="65"/>
    </row>
    <row r="2069" spans="45:46" x14ac:dyDescent="0.25">
      <c r="AS2069" s="65"/>
      <c r="AT2069" s="65"/>
    </row>
    <row r="2070" spans="45:46" x14ac:dyDescent="0.25">
      <c r="AS2070" s="65"/>
      <c r="AT2070" s="65"/>
    </row>
    <row r="2071" spans="45:46" x14ac:dyDescent="0.25">
      <c r="AS2071" s="65"/>
      <c r="AT2071" s="65"/>
    </row>
    <row r="2072" spans="45:46" x14ac:dyDescent="0.25">
      <c r="AS2072" s="65"/>
      <c r="AT2072" s="65"/>
    </row>
    <row r="2073" spans="45:46" x14ac:dyDescent="0.25">
      <c r="AS2073" s="65"/>
      <c r="AT2073" s="65"/>
    </row>
    <row r="2074" spans="45:46" x14ac:dyDescent="0.25">
      <c r="AS2074" s="65"/>
      <c r="AT2074" s="65"/>
    </row>
    <row r="2075" spans="45:46" x14ac:dyDescent="0.25">
      <c r="AS2075" s="65"/>
      <c r="AT2075" s="65"/>
    </row>
    <row r="2076" spans="45:46" x14ac:dyDescent="0.25">
      <c r="AS2076" s="65"/>
      <c r="AT2076" s="65"/>
    </row>
    <row r="2077" spans="45:46" x14ac:dyDescent="0.25">
      <c r="AS2077" s="65"/>
      <c r="AT2077" s="65"/>
    </row>
    <row r="2078" spans="45:46" x14ac:dyDescent="0.25">
      <c r="AS2078" s="65"/>
      <c r="AT2078" s="65"/>
    </row>
    <row r="2079" spans="45:46" x14ac:dyDescent="0.25">
      <c r="AS2079" s="65"/>
      <c r="AT2079" s="65"/>
    </row>
    <row r="2080" spans="45:46" x14ac:dyDescent="0.25">
      <c r="AS2080" s="65"/>
      <c r="AT2080" s="65"/>
    </row>
    <row r="2081" spans="45:46" x14ac:dyDescent="0.25">
      <c r="AS2081" s="65"/>
      <c r="AT2081" s="65"/>
    </row>
    <row r="2082" spans="45:46" x14ac:dyDescent="0.25">
      <c r="AS2082" s="65"/>
      <c r="AT2082" s="65"/>
    </row>
    <row r="2083" spans="45:46" x14ac:dyDescent="0.25">
      <c r="AS2083" s="65"/>
      <c r="AT2083" s="65"/>
    </row>
    <row r="2084" spans="45:46" x14ac:dyDescent="0.25">
      <c r="AS2084" s="65"/>
      <c r="AT2084" s="65"/>
    </row>
    <row r="2085" spans="45:46" x14ac:dyDescent="0.25">
      <c r="AS2085" s="65"/>
      <c r="AT2085" s="65"/>
    </row>
    <row r="2086" spans="45:46" x14ac:dyDescent="0.25">
      <c r="AS2086" s="65"/>
      <c r="AT2086" s="65"/>
    </row>
    <row r="2087" spans="45:46" x14ac:dyDescent="0.25">
      <c r="AS2087" s="65"/>
      <c r="AT2087" s="65"/>
    </row>
    <row r="2088" spans="45:46" x14ac:dyDescent="0.25">
      <c r="AS2088" s="65"/>
      <c r="AT2088" s="65"/>
    </row>
    <row r="2089" spans="45:46" x14ac:dyDescent="0.25">
      <c r="AS2089" s="65"/>
      <c r="AT2089" s="65"/>
    </row>
    <row r="2090" spans="45:46" x14ac:dyDescent="0.25">
      <c r="AS2090" s="65"/>
      <c r="AT2090" s="65"/>
    </row>
    <row r="2091" spans="45:46" x14ac:dyDescent="0.25">
      <c r="AS2091" s="65"/>
      <c r="AT2091" s="65"/>
    </row>
    <row r="2092" spans="45:46" x14ac:dyDescent="0.25">
      <c r="AS2092" s="65"/>
      <c r="AT2092" s="65"/>
    </row>
    <row r="2093" spans="45:46" x14ac:dyDescent="0.25">
      <c r="AS2093" s="65"/>
      <c r="AT2093" s="65"/>
    </row>
    <row r="2094" spans="45:46" x14ac:dyDescent="0.25">
      <c r="AS2094" s="65"/>
      <c r="AT2094" s="65"/>
    </row>
    <row r="2095" spans="45:46" x14ac:dyDescent="0.25">
      <c r="AS2095" s="65"/>
      <c r="AT2095" s="65"/>
    </row>
    <row r="2096" spans="45:46" x14ac:dyDescent="0.25">
      <c r="AS2096" s="65"/>
      <c r="AT2096" s="65"/>
    </row>
    <row r="2097" spans="45:46" x14ac:dyDescent="0.25">
      <c r="AS2097" s="65"/>
      <c r="AT2097" s="65"/>
    </row>
    <row r="2098" spans="45:46" x14ac:dyDescent="0.25">
      <c r="AS2098" s="65"/>
      <c r="AT2098" s="65"/>
    </row>
    <row r="2099" spans="45:46" x14ac:dyDescent="0.25">
      <c r="AS2099" s="65"/>
      <c r="AT2099" s="65"/>
    </row>
    <row r="2100" spans="45:46" x14ac:dyDescent="0.25">
      <c r="AS2100" s="65"/>
      <c r="AT2100" s="65"/>
    </row>
    <row r="2101" spans="45:46" x14ac:dyDescent="0.25">
      <c r="AS2101" s="65"/>
      <c r="AT2101" s="65"/>
    </row>
    <row r="2102" spans="45:46" x14ac:dyDescent="0.25">
      <c r="AS2102" s="65"/>
      <c r="AT2102" s="65"/>
    </row>
    <row r="2103" spans="45:46" x14ac:dyDescent="0.25">
      <c r="AS2103" s="65"/>
      <c r="AT2103" s="65"/>
    </row>
    <row r="2104" spans="45:46" x14ac:dyDescent="0.25">
      <c r="AS2104" s="65"/>
      <c r="AT2104" s="65"/>
    </row>
    <row r="2105" spans="45:46" x14ac:dyDescent="0.25">
      <c r="AS2105" s="65"/>
      <c r="AT2105" s="65"/>
    </row>
    <row r="2106" spans="45:46" x14ac:dyDescent="0.25">
      <c r="AS2106" s="65"/>
      <c r="AT2106" s="65"/>
    </row>
    <row r="2107" spans="45:46" x14ac:dyDescent="0.25">
      <c r="AS2107" s="65"/>
      <c r="AT2107" s="65"/>
    </row>
    <row r="2108" spans="45:46" x14ac:dyDescent="0.25">
      <c r="AS2108" s="65"/>
      <c r="AT2108" s="65"/>
    </row>
    <row r="2109" spans="45:46" x14ac:dyDescent="0.25">
      <c r="AS2109" s="65"/>
      <c r="AT2109" s="65"/>
    </row>
    <row r="2110" spans="45:46" x14ac:dyDescent="0.25">
      <c r="AS2110" s="65"/>
      <c r="AT2110" s="65"/>
    </row>
    <row r="2111" spans="45:46" x14ac:dyDescent="0.25">
      <c r="AS2111" s="65"/>
      <c r="AT2111" s="65"/>
    </row>
    <row r="2112" spans="45:46" x14ac:dyDescent="0.25">
      <c r="AS2112" s="65"/>
      <c r="AT2112" s="65"/>
    </row>
    <row r="2113" spans="45:46" x14ac:dyDescent="0.25">
      <c r="AS2113" s="65"/>
      <c r="AT2113" s="65"/>
    </row>
    <row r="2114" spans="45:46" x14ac:dyDescent="0.25">
      <c r="AS2114" s="65"/>
      <c r="AT2114" s="65"/>
    </row>
    <row r="2115" spans="45:46" x14ac:dyDescent="0.25">
      <c r="AS2115" s="65"/>
      <c r="AT2115" s="65"/>
    </row>
    <row r="2116" spans="45:46" x14ac:dyDescent="0.25">
      <c r="AS2116" s="65"/>
      <c r="AT2116" s="65"/>
    </row>
    <row r="2117" spans="45:46" x14ac:dyDescent="0.25">
      <c r="AS2117" s="65"/>
      <c r="AT2117" s="65"/>
    </row>
    <row r="2118" spans="45:46" x14ac:dyDescent="0.25">
      <c r="AS2118" s="65"/>
      <c r="AT2118" s="65"/>
    </row>
    <row r="2119" spans="45:46" x14ac:dyDescent="0.25">
      <c r="AS2119" s="65"/>
      <c r="AT2119" s="65"/>
    </row>
    <row r="2120" spans="45:46" x14ac:dyDescent="0.25">
      <c r="AS2120" s="65"/>
      <c r="AT2120" s="65"/>
    </row>
    <row r="2121" spans="45:46" x14ac:dyDescent="0.25">
      <c r="AS2121" s="65"/>
      <c r="AT2121" s="65"/>
    </row>
    <row r="2122" spans="45:46" x14ac:dyDescent="0.25">
      <c r="AS2122" s="65"/>
      <c r="AT2122" s="65"/>
    </row>
    <row r="2123" spans="45:46" x14ac:dyDescent="0.25">
      <c r="AS2123" s="65"/>
      <c r="AT2123" s="65"/>
    </row>
    <row r="2124" spans="45:46" x14ac:dyDescent="0.25">
      <c r="AS2124" s="65"/>
      <c r="AT2124" s="65"/>
    </row>
    <row r="2125" spans="45:46" x14ac:dyDescent="0.25">
      <c r="AS2125" s="65"/>
      <c r="AT2125" s="65"/>
    </row>
    <row r="2126" spans="45:46" x14ac:dyDescent="0.25">
      <c r="AS2126" s="65"/>
      <c r="AT2126" s="65"/>
    </row>
    <row r="2127" spans="45:46" x14ac:dyDescent="0.25">
      <c r="AS2127" s="65"/>
      <c r="AT2127" s="65"/>
    </row>
    <row r="2128" spans="45:46" x14ac:dyDescent="0.25">
      <c r="AS2128" s="65"/>
      <c r="AT2128" s="65"/>
    </row>
    <row r="2129" spans="45:46" x14ac:dyDescent="0.25">
      <c r="AS2129" s="65"/>
      <c r="AT2129" s="65"/>
    </row>
    <row r="2130" spans="45:46" x14ac:dyDescent="0.25">
      <c r="AS2130" s="65"/>
      <c r="AT2130" s="65"/>
    </row>
    <row r="2131" spans="45:46" x14ac:dyDescent="0.25">
      <c r="AS2131" s="65"/>
      <c r="AT2131" s="65"/>
    </row>
    <row r="2132" spans="45:46" x14ac:dyDescent="0.25">
      <c r="AS2132" s="65"/>
      <c r="AT2132" s="65"/>
    </row>
    <row r="2133" spans="45:46" x14ac:dyDescent="0.25">
      <c r="AS2133" s="65"/>
      <c r="AT2133" s="65"/>
    </row>
    <row r="2134" spans="45:46" x14ac:dyDescent="0.25">
      <c r="AS2134" s="65"/>
      <c r="AT2134" s="65"/>
    </row>
    <row r="2135" spans="45:46" x14ac:dyDescent="0.25">
      <c r="AS2135" s="65"/>
      <c r="AT2135" s="65"/>
    </row>
    <row r="2136" spans="45:46" x14ac:dyDescent="0.25">
      <c r="AS2136" s="65"/>
      <c r="AT2136" s="65"/>
    </row>
    <row r="2137" spans="45:46" x14ac:dyDescent="0.25">
      <c r="AS2137" s="65"/>
      <c r="AT2137" s="65"/>
    </row>
    <row r="2138" spans="45:46" x14ac:dyDescent="0.25">
      <c r="AS2138" s="65"/>
      <c r="AT2138" s="65"/>
    </row>
    <row r="2139" spans="45:46" x14ac:dyDescent="0.25">
      <c r="AS2139" s="65"/>
      <c r="AT2139" s="65"/>
    </row>
    <row r="2140" spans="45:46" x14ac:dyDescent="0.25">
      <c r="AS2140" s="65"/>
      <c r="AT2140" s="65"/>
    </row>
    <row r="2141" spans="45:46" x14ac:dyDescent="0.25">
      <c r="AS2141" s="65"/>
      <c r="AT2141" s="65"/>
    </row>
    <row r="2142" spans="45:46" x14ac:dyDescent="0.25">
      <c r="AS2142" s="65"/>
      <c r="AT2142" s="65"/>
    </row>
    <row r="2143" spans="45:46" x14ac:dyDescent="0.25">
      <c r="AS2143" s="65"/>
      <c r="AT2143" s="65"/>
    </row>
    <row r="2144" spans="45:46" x14ac:dyDescent="0.25">
      <c r="AS2144" s="65"/>
      <c r="AT2144" s="65"/>
    </row>
    <row r="2145" spans="45:46" x14ac:dyDescent="0.25">
      <c r="AS2145" s="65"/>
      <c r="AT2145" s="65"/>
    </row>
    <row r="2146" spans="45:46" x14ac:dyDescent="0.25">
      <c r="AS2146" s="65"/>
      <c r="AT2146" s="65"/>
    </row>
    <row r="2147" spans="45:46" x14ac:dyDescent="0.25">
      <c r="AS2147" s="65"/>
      <c r="AT2147" s="65"/>
    </row>
    <row r="2148" spans="45:46" x14ac:dyDescent="0.25">
      <c r="AS2148" s="65"/>
      <c r="AT2148" s="65"/>
    </row>
    <row r="2149" spans="45:46" x14ac:dyDescent="0.25">
      <c r="AS2149" s="65"/>
      <c r="AT2149" s="65"/>
    </row>
    <row r="2150" spans="45:46" x14ac:dyDescent="0.25">
      <c r="AS2150" s="65"/>
      <c r="AT2150" s="65"/>
    </row>
    <row r="2151" spans="45:46" x14ac:dyDescent="0.25">
      <c r="AS2151" s="65"/>
      <c r="AT2151" s="65"/>
    </row>
    <row r="2152" spans="45:46" x14ac:dyDescent="0.25">
      <c r="AS2152" s="65"/>
      <c r="AT2152" s="65"/>
    </row>
    <row r="2153" spans="45:46" x14ac:dyDescent="0.25">
      <c r="AS2153" s="65"/>
      <c r="AT2153" s="65"/>
    </row>
    <row r="2154" spans="45:46" x14ac:dyDescent="0.25">
      <c r="AS2154" s="65"/>
      <c r="AT2154" s="65"/>
    </row>
    <row r="2155" spans="45:46" x14ac:dyDescent="0.25">
      <c r="AS2155" s="65"/>
      <c r="AT2155" s="65"/>
    </row>
    <row r="2156" spans="45:46" x14ac:dyDescent="0.25">
      <c r="AS2156" s="65"/>
      <c r="AT2156" s="65"/>
    </row>
    <row r="2157" spans="45:46" x14ac:dyDescent="0.25">
      <c r="AS2157" s="65"/>
      <c r="AT2157" s="65"/>
    </row>
    <row r="2158" spans="45:46" x14ac:dyDescent="0.25">
      <c r="AS2158" s="65"/>
      <c r="AT2158" s="65"/>
    </row>
    <row r="2159" spans="45:46" x14ac:dyDescent="0.25">
      <c r="AS2159" s="65"/>
      <c r="AT2159" s="65"/>
    </row>
    <row r="2160" spans="45:46" x14ac:dyDescent="0.25">
      <c r="AS2160" s="65"/>
      <c r="AT2160" s="65"/>
    </row>
    <row r="2161" spans="45:46" x14ac:dyDescent="0.25">
      <c r="AS2161" s="65"/>
      <c r="AT2161" s="65"/>
    </row>
    <row r="2162" spans="45:46" x14ac:dyDescent="0.25">
      <c r="AS2162" s="65"/>
      <c r="AT2162" s="65"/>
    </row>
    <row r="2163" spans="45:46" x14ac:dyDescent="0.25">
      <c r="AS2163" s="65"/>
      <c r="AT2163" s="65"/>
    </row>
    <row r="2164" spans="45:46" x14ac:dyDescent="0.25">
      <c r="AS2164" s="65"/>
      <c r="AT2164" s="65"/>
    </row>
    <row r="2165" spans="45:46" x14ac:dyDescent="0.25">
      <c r="AS2165" s="65"/>
      <c r="AT2165" s="65"/>
    </row>
    <row r="2166" spans="45:46" x14ac:dyDescent="0.25">
      <c r="AS2166" s="65"/>
      <c r="AT2166" s="65"/>
    </row>
    <row r="2167" spans="45:46" x14ac:dyDescent="0.25">
      <c r="AS2167" s="65"/>
      <c r="AT2167" s="65"/>
    </row>
    <row r="2168" spans="45:46" x14ac:dyDescent="0.25">
      <c r="AS2168" s="65"/>
      <c r="AT2168" s="65"/>
    </row>
    <row r="2169" spans="45:46" x14ac:dyDescent="0.25">
      <c r="AS2169" s="65"/>
      <c r="AT2169" s="65"/>
    </row>
    <row r="2170" spans="45:46" x14ac:dyDescent="0.25">
      <c r="AS2170" s="65"/>
      <c r="AT2170" s="65"/>
    </row>
    <row r="2171" spans="45:46" x14ac:dyDescent="0.25">
      <c r="AS2171" s="65"/>
      <c r="AT2171" s="65"/>
    </row>
    <row r="2172" spans="45:46" x14ac:dyDescent="0.25">
      <c r="AS2172" s="65"/>
      <c r="AT2172" s="65"/>
    </row>
    <row r="2173" spans="45:46" x14ac:dyDescent="0.25">
      <c r="AS2173" s="65"/>
      <c r="AT2173" s="65"/>
    </row>
    <row r="2174" spans="45:46" x14ac:dyDescent="0.25">
      <c r="AS2174" s="65"/>
      <c r="AT2174" s="65"/>
    </row>
    <row r="2175" spans="45:46" x14ac:dyDescent="0.25">
      <c r="AS2175" s="65"/>
      <c r="AT2175" s="65"/>
    </row>
    <row r="2176" spans="45:46" x14ac:dyDescent="0.25">
      <c r="AS2176" s="65"/>
      <c r="AT2176" s="65"/>
    </row>
    <row r="2177" spans="45:46" x14ac:dyDescent="0.25">
      <c r="AS2177" s="65"/>
      <c r="AT2177" s="65"/>
    </row>
    <row r="2178" spans="45:46" x14ac:dyDescent="0.25">
      <c r="AS2178" s="65"/>
      <c r="AT2178" s="65"/>
    </row>
    <row r="2179" spans="45:46" x14ac:dyDescent="0.25">
      <c r="AS2179" s="65"/>
      <c r="AT2179" s="65"/>
    </row>
    <row r="2180" spans="45:46" x14ac:dyDescent="0.25">
      <c r="AS2180" s="65"/>
      <c r="AT2180" s="65"/>
    </row>
    <row r="2181" spans="45:46" x14ac:dyDescent="0.25">
      <c r="AS2181" s="65"/>
      <c r="AT2181" s="65"/>
    </row>
    <row r="2182" spans="45:46" x14ac:dyDescent="0.25">
      <c r="AS2182" s="65"/>
      <c r="AT2182" s="65"/>
    </row>
    <row r="2183" spans="45:46" x14ac:dyDescent="0.25">
      <c r="AS2183" s="65"/>
      <c r="AT2183" s="65"/>
    </row>
    <row r="2184" spans="45:46" x14ac:dyDescent="0.25">
      <c r="AS2184" s="65"/>
      <c r="AT2184" s="65"/>
    </row>
    <row r="2185" spans="45:46" x14ac:dyDescent="0.25">
      <c r="AS2185" s="65"/>
      <c r="AT2185" s="65"/>
    </row>
    <row r="2186" spans="45:46" x14ac:dyDescent="0.25">
      <c r="AS2186" s="65"/>
      <c r="AT2186" s="65"/>
    </row>
    <row r="2187" spans="45:46" x14ac:dyDescent="0.25">
      <c r="AS2187" s="65"/>
      <c r="AT2187" s="65"/>
    </row>
    <row r="2188" spans="45:46" x14ac:dyDescent="0.25">
      <c r="AS2188" s="65"/>
      <c r="AT2188" s="65"/>
    </row>
    <row r="2189" spans="45:46" x14ac:dyDescent="0.25">
      <c r="AS2189" s="65"/>
      <c r="AT2189" s="65"/>
    </row>
    <row r="2190" spans="45:46" x14ac:dyDescent="0.25">
      <c r="AS2190" s="65"/>
      <c r="AT2190" s="65"/>
    </row>
    <row r="2191" spans="45:46" x14ac:dyDescent="0.25">
      <c r="AS2191" s="65"/>
      <c r="AT2191" s="65"/>
    </row>
    <row r="2192" spans="45:46" x14ac:dyDescent="0.25">
      <c r="AS2192" s="65"/>
      <c r="AT2192" s="65"/>
    </row>
    <row r="2193" spans="45:46" x14ac:dyDescent="0.25">
      <c r="AS2193" s="65"/>
      <c r="AT2193" s="65"/>
    </row>
    <row r="2194" spans="45:46" x14ac:dyDescent="0.25">
      <c r="AS2194" s="65"/>
      <c r="AT2194" s="65"/>
    </row>
    <row r="2195" spans="45:46" x14ac:dyDescent="0.25">
      <c r="AS2195" s="65"/>
      <c r="AT2195" s="65"/>
    </row>
    <row r="2196" spans="45:46" x14ac:dyDescent="0.25">
      <c r="AS2196" s="65"/>
      <c r="AT2196" s="65"/>
    </row>
    <row r="2197" spans="45:46" x14ac:dyDescent="0.25">
      <c r="AS2197" s="65"/>
      <c r="AT2197" s="65"/>
    </row>
    <row r="2198" spans="45:46" x14ac:dyDescent="0.25">
      <c r="AS2198" s="65"/>
      <c r="AT2198" s="65"/>
    </row>
    <row r="2199" spans="45:46" x14ac:dyDescent="0.25">
      <c r="AS2199" s="65"/>
      <c r="AT2199" s="65"/>
    </row>
    <row r="2200" spans="45:46" x14ac:dyDescent="0.25">
      <c r="AS2200" s="65"/>
      <c r="AT2200" s="65"/>
    </row>
    <row r="2201" spans="45:46" x14ac:dyDescent="0.25">
      <c r="AS2201" s="65"/>
      <c r="AT2201" s="65"/>
    </row>
    <row r="2202" spans="45:46" x14ac:dyDescent="0.25">
      <c r="AS2202" s="65"/>
      <c r="AT2202" s="65"/>
    </row>
    <row r="2203" spans="45:46" x14ac:dyDescent="0.25">
      <c r="AS2203" s="65"/>
      <c r="AT2203" s="65"/>
    </row>
    <row r="2204" spans="45:46" x14ac:dyDescent="0.25">
      <c r="AS2204" s="65"/>
      <c r="AT2204" s="65"/>
    </row>
    <row r="2205" spans="45:46" x14ac:dyDescent="0.25">
      <c r="AS2205" s="65"/>
      <c r="AT2205" s="65"/>
    </row>
    <row r="2206" spans="45:46" x14ac:dyDescent="0.25">
      <c r="AS2206" s="65"/>
      <c r="AT2206" s="65"/>
    </row>
    <row r="2207" spans="45:46" x14ac:dyDescent="0.25">
      <c r="AS2207" s="65"/>
      <c r="AT2207" s="65"/>
    </row>
    <row r="2208" spans="45:46" x14ac:dyDescent="0.25">
      <c r="AS2208" s="65"/>
      <c r="AT2208" s="65"/>
    </row>
    <row r="2209" spans="45:46" x14ac:dyDescent="0.25">
      <c r="AS2209" s="65"/>
      <c r="AT2209" s="65"/>
    </row>
    <row r="2210" spans="45:46" x14ac:dyDescent="0.25">
      <c r="AS2210" s="65"/>
      <c r="AT2210" s="65"/>
    </row>
    <row r="2211" spans="45:46" x14ac:dyDescent="0.25">
      <c r="AS2211" s="65"/>
      <c r="AT2211" s="65"/>
    </row>
    <row r="2212" spans="45:46" x14ac:dyDescent="0.25">
      <c r="AS2212" s="65"/>
      <c r="AT2212" s="65"/>
    </row>
    <row r="2213" spans="45:46" x14ac:dyDescent="0.25">
      <c r="AS2213" s="65"/>
      <c r="AT2213" s="65"/>
    </row>
    <row r="2214" spans="45:46" x14ac:dyDescent="0.25">
      <c r="AS2214" s="65"/>
      <c r="AT2214" s="65"/>
    </row>
    <row r="2215" spans="45:46" x14ac:dyDescent="0.25">
      <c r="AS2215" s="65"/>
      <c r="AT2215" s="65"/>
    </row>
    <row r="2216" spans="45:46" x14ac:dyDescent="0.25">
      <c r="AS2216" s="65"/>
      <c r="AT2216" s="65"/>
    </row>
    <row r="2217" spans="45:46" x14ac:dyDescent="0.25">
      <c r="AS2217" s="65"/>
      <c r="AT2217" s="65"/>
    </row>
    <row r="2218" spans="45:46" x14ac:dyDescent="0.25">
      <c r="AS2218" s="65"/>
      <c r="AT2218" s="65"/>
    </row>
    <row r="2219" spans="45:46" x14ac:dyDescent="0.25">
      <c r="AS2219" s="65"/>
      <c r="AT2219" s="65"/>
    </row>
    <row r="2220" spans="45:46" x14ac:dyDescent="0.25">
      <c r="AS2220" s="65"/>
      <c r="AT2220" s="65"/>
    </row>
    <row r="2221" spans="45:46" x14ac:dyDescent="0.25">
      <c r="AS2221" s="65"/>
      <c r="AT2221" s="65"/>
    </row>
    <row r="2222" spans="45:46" x14ac:dyDescent="0.25">
      <c r="AS2222" s="65"/>
      <c r="AT2222" s="65"/>
    </row>
    <row r="2223" spans="45:46" x14ac:dyDescent="0.25">
      <c r="AS2223" s="65"/>
      <c r="AT2223" s="65"/>
    </row>
    <row r="2224" spans="45:46" x14ac:dyDescent="0.25">
      <c r="AS2224" s="65"/>
      <c r="AT2224" s="65"/>
    </row>
    <row r="2225" spans="45:46" x14ac:dyDescent="0.25">
      <c r="AS2225" s="65"/>
      <c r="AT2225" s="65"/>
    </row>
    <row r="2226" spans="45:46" x14ac:dyDescent="0.25">
      <c r="AS2226" s="65"/>
      <c r="AT2226" s="65"/>
    </row>
    <row r="2227" spans="45:46" x14ac:dyDescent="0.25">
      <c r="AS2227" s="65"/>
      <c r="AT2227" s="65"/>
    </row>
    <row r="2228" spans="45:46" x14ac:dyDescent="0.25">
      <c r="AS2228" s="65"/>
      <c r="AT2228" s="65"/>
    </row>
    <row r="2229" spans="45:46" x14ac:dyDescent="0.25">
      <c r="AS2229" s="65"/>
      <c r="AT2229" s="65"/>
    </row>
    <row r="2230" spans="45:46" x14ac:dyDescent="0.25">
      <c r="AS2230" s="65"/>
      <c r="AT2230" s="65"/>
    </row>
    <row r="2231" spans="45:46" x14ac:dyDescent="0.25">
      <c r="AS2231" s="65"/>
      <c r="AT2231" s="65"/>
    </row>
    <row r="2232" spans="45:46" x14ac:dyDescent="0.25">
      <c r="AS2232" s="65"/>
      <c r="AT2232" s="65"/>
    </row>
    <row r="2233" spans="45:46" x14ac:dyDescent="0.25">
      <c r="AS2233" s="65"/>
      <c r="AT2233" s="65"/>
    </row>
    <row r="2234" spans="45:46" x14ac:dyDescent="0.25">
      <c r="AS2234" s="65"/>
      <c r="AT2234" s="65"/>
    </row>
    <row r="2235" spans="45:46" x14ac:dyDescent="0.25">
      <c r="AS2235" s="65"/>
      <c r="AT2235" s="65"/>
    </row>
    <row r="2236" spans="45:46" x14ac:dyDescent="0.25">
      <c r="AS2236" s="65"/>
      <c r="AT2236" s="65"/>
    </row>
    <row r="2237" spans="45:46" x14ac:dyDescent="0.25">
      <c r="AS2237" s="65"/>
      <c r="AT2237" s="65"/>
    </row>
    <row r="2238" spans="45:46" x14ac:dyDescent="0.25">
      <c r="AS2238" s="65"/>
      <c r="AT2238" s="65"/>
    </row>
    <row r="2239" spans="45:46" x14ac:dyDescent="0.25">
      <c r="AS2239" s="65"/>
      <c r="AT2239" s="65"/>
    </row>
    <row r="2240" spans="45:46" x14ac:dyDescent="0.25">
      <c r="AS2240" s="65"/>
      <c r="AT2240" s="65"/>
    </row>
    <row r="2241" spans="45:46" x14ac:dyDescent="0.25">
      <c r="AS2241" s="65"/>
      <c r="AT2241" s="65"/>
    </row>
    <row r="2242" spans="45:46" x14ac:dyDescent="0.25">
      <c r="AS2242" s="65"/>
      <c r="AT2242" s="65"/>
    </row>
    <row r="2243" spans="45:46" x14ac:dyDescent="0.25">
      <c r="AS2243" s="65"/>
      <c r="AT2243" s="65"/>
    </row>
    <row r="2244" spans="45:46" x14ac:dyDescent="0.25">
      <c r="AS2244" s="65"/>
      <c r="AT2244" s="65"/>
    </row>
    <row r="2245" spans="45:46" x14ac:dyDescent="0.25">
      <c r="AS2245" s="65"/>
      <c r="AT2245" s="65"/>
    </row>
    <row r="2246" spans="45:46" x14ac:dyDescent="0.25">
      <c r="AS2246" s="65"/>
      <c r="AT2246" s="65"/>
    </row>
    <row r="2247" spans="45:46" x14ac:dyDescent="0.25">
      <c r="AS2247" s="65"/>
      <c r="AT2247" s="65"/>
    </row>
    <row r="2248" spans="45:46" x14ac:dyDescent="0.25">
      <c r="AS2248" s="65"/>
      <c r="AT2248" s="65"/>
    </row>
    <row r="2249" spans="45:46" x14ac:dyDescent="0.25">
      <c r="AS2249" s="65"/>
      <c r="AT2249" s="65"/>
    </row>
    <row r="2250" spans="45:46" x14ac:dyDescent="0.25">
      <c r="AS2250" s="65"/>
      <c r="AT2250" s="65"/>
    </row>
    <row r="2251" spans="45:46" x14ac:dyDescent="0.25">
      <c r="AS2251" s="65"/>
      <c r="AT2251" s="65"/>
    </row>
    <row r="2252" spans="45:46" x14ac:dyDescent="0.25">
      <c r="AS2252" s="65"/>
      <c r="AT2252" s="65"/>
    </row>
    <row r="2253" spans="45:46" x14ac:dyDescent="0.25">
      <c r="AS2253" s="65"/>
      <c r="AT2253" s="65"/>
    </row>
    <row r="2254" spans="45:46" x14ac:dyDescent="0.25">
      <c r="AS2254" s="65"/>
      <c r="AT2254" s="65"/>
    </row>
    <row r="2255" spans="45:46" x14ac:dyDescent="0.25">
      <c r="AS2255" s="65"/>
      <c r="AT2255" s="65"/>
    </row>
    <row r="2256" spans="45:46" x14ac:dyDescent="0.25">
      <c r="AS2256" s="65"/>
      <c r="AT2256" s="65"/>
    </row>
    <row r="2257" spans="45:46" x14ac:dyDescent="0.25">
      <c r="AS2257" s="65"/>
      <c r="AT2257" s="65"/>
    </row>
    <row r="2258" spans="45:46" x14ac:dyDescent="0.25">
      <c r="AS2258" s="65"/>
      <c r="AT2258" s="65"/>
    </row>
    <row r="2259" spans="45:46" x14ac:dyDescent="0.25">
      <c r="AS2259" s="65"/>
      <c r="AT2259" s="65"/>
    </row>
    <row r="2260" spans="45:46" x14ac:dyDescent="0.25">
      <c r="AS2260" s="65"/>
      <c r="AT2260" s="65"/>
    </row>
    <row r="2261" spans="45:46" x14ac:dyDescent="0.25">
      <c r="AS2261" s="65"/>
      <c r="AT2261" s="65"/>
    </row>
    <row r="2262" spans="45:46" x14ac:dyDescent="0.25">
      <c r="AS2262" s="65"/>
      <c r="AT2262" s="65"/>
    </row>
    <row r="2263" spans="45:46" x14ac:dyDescent="0.25">
      <c r="AS2263" s="65"/>
      <c r="AT2263" s="65"/>
    </row>
    <row r="2264" spans="45:46" x14ac:dyDescent="0.25">
      <c r="AS2264" s="65"/>
      <c r="AT2264" s="65"/>
    </row>
    <row r="2265" spans="45:46" x14ac:dyDescent="0.25">
      <c r="AS2265" s="65"/>
      <c r="AT2265" s="65"/>
    </row>
    <row r="2266" spans="45:46" x14ac:dyDescent="0.25">
      <c r="AS2266" s="65"/>
      <c r="AT2266" s="65"/>
    </row>
    <row r="2267" spans="45:46" x14ac:dyDescent="0.25">
      <c r="AS2267" s="65"/>
      <c r="AT2267" s="65"/>
    </row>
    <row r="2268" spans="45:46" x14ac:dyDescent="0.25">
      <c r="AS2268" s="65"/>
      <c r="AT2268" s="65"/>
    </row>
    <row r="2269" spans="45:46" x14ac:dyDescent="0.25">
      <c r="AS2269" s="65"/>
      <c r="AT2269" s="65"/>
    </row>
    <row r="2270" spans="45:46" x14ac:dyDescent="0.25">
      <c r="AS2270" s="65"/>
      <c r="AT2270" s="65"/>
    </row>
    <row r="2271" spans="45:46" x14ac:dyDescent="0.25">
      <c r="AS2271" s="65"/>
      <c r="AT2271" s="65"/>
    </row>
    <row r="2272" spans="45:46" x14ac:dyDescent="0.25">
      <c r="AS2272" s="65"/>
      <c r="AT2272" s="65"/>
    </row>
    <row r="2273" spans="45:46" x14ac:dyDescent="0.25">
      <c r="AS2273" s="65"/>
      <c r="AT2273" s="65"/>
    </row>
    <row r="2274" spans="45:46" x14ac:dyDescent="0.25">
      <c r="AS2274" s="65"/>
      <c r="AT2274" s="65"/>
    </row>
    <row r="2275" spans="45:46" x14ac:dyDescent="0.25">
      <c r="AS2275" s="65"/>
      <c r="AT2275" s="65"/>
    </row>
    <row r="2276" spans="45:46" x14ac:dyDescent="0.25">
      <c r="AS2276" s="65"/>
      <c r="AT2276" s="65"/>
    </row>
    <row r="2277" spans="45:46" x14ac:dyDescent="0.25">
      <c r="AS2277" s="65"/>
      <c r="AT2277" s="65"/>
    </row>
    <row r="2278" spans="45:46" x14ac:dyDescent="0.25">
      <c r="AS2278" s="65"/>
      <c r="AT2278" s="65"/>
    </row>
    <row r="2279" spans="45:46" x14ac:dyDescent="0.25">
      <c r="AS2279" s="65"/>
      <c r="AT2279" s="65"/>
    </row>
    <row r="2280" spans="45:46" x14ac:dyDescent="0.25">
      <c r="AS2280" s="65"/>
      <c r="AT2280" s="65"/>
    </row>
    <row r="2281" spans="45:46" x14ac:dyDescent="0.25">
      <c r="AS2281" s="65"/>
      <c r="AT2281" s="65"/>
    </row>
    <row r="2282" spans="45:46" x14ac:dyDescent="0.25">
      <c r="AS2282" s="65"/>
      <c r="AT2282" s="65"/>
    </row>
    <row r="2283" spans="45:46" x14ac:dyDescent="0.25">
      <c r="AS2283" s="65"/>
      <c r="AT2283" s="65"/>
    </row>
    <row r="2284" spans="45:46" x14ac:dyDescent="0.25">
      <c r="AS2284" s="65"/>
      <c r="AT2284" s="65"/>
    </row>
    <row r="2285" spans="45:46" x14ac:dyDescent="0.25">
      <c r="AS2285" s="65"/>
      <c r="AT2285" s="65"/>
    </row>
    <row r="2286" spans="45:46" x14ac:dyDescent="0.25">
      <c r="AS2286" s="65"/>
      <c r="AT2286" s="65"/>
    </row>
    <row r="2287" spans="45:46" x14ac:dyDescent="0.25">
      <c r="AS2287" s="65"/>
      <c r="AT2287" s="65"/>
    </row>
    <row r="2288" spans="45:46" x14ac:dyDescent="0.25">
      <c r="AS2288" s="65"/>
      <c r="AT2288" s="65"/>
    </row>
    <row r="2289" spans="45:46" x14ac:dyDescent="0.25">
      <c r="AS2289" s="65"/>
      <c r="AT2289" s="65"/>
    </row>
    <row r="2290" spans="45:46" x14ac:dyDescent="0.25">
      <c r="AS2290" s="65"/>
      <c r="AT2290" s="65"/>
    </row>
    <row r="2291" spans="45:46" x14ac:dyDescent="0.25">
      <c r="AS2291" s="65"/>
      <c r="AT2291" s="65"/>
    </row>
    <row r="2292" spans="45:46" x14ac:dyDescent="0.25">
      <c r="AS2292" s="65"/>
      <c r="AT2292" s="65"/>
    </row>
    <row r="2293" spans="45:46" x14ac:dyDescent="0.25">
      <c r="AS2293" s="65"/>
      <c r="AT2293" s="65"/>
    </row>
    <row r="2294" spans="45:46" x14ac:dyDescent="0.25">
      <c r="AS2294" s="65"/>
      <c r="AT2294" s="65"/>
    </row>
    <row r="2295" spans="45:46" x14ac:dyDescent="0.25">
      <c r="AS2295" s="65"/>
      <c r="AT2295" s="65"/>
    </row>
    <row r="2296" spans="45:46" x14ac:dyDescent="0.25">
      <c r="AS2296" s="65"/>
      <c r="AT2296" s="65"/>
    </row>
    <row r="2297" spans="45:46" x14ac:dyDescent="0.25">
      <c r="AS2297" s="65"/>
      <c r="AT2297" s="65"/>
    </row>
    <row r="2298" spans="45:46" x14ac:dyDescent="0.25">
      <c r="AS2298" s="65"/>
      <c r="AT2298" s="65"/>
    </row>
    <row r="2299" spans="45:46" x14ac:dyDescent="0.25">
      <c r="AS2299" s="65"/>
      <c r="AT2299" s="65"/>
    </row>
    <row r="2300" spans="45:46" x14ac:dyDescent="0.25">
      <c r="AS2300" s="65"/>
      <c r="AT2300" s="65"/>
    </row>
    <row r="2301" spans="45:46" x14ac:dyDescent="0.25">
      <c r="AS2301" s="65"/>
      <c r="AT2301" s="65"/>
    </row>
    <row r="2302" spans="45:46" x14ac:dyDescent="0.25">
      <c r="AS2302" s="65"/>
      <c r="AT2302" s="65"/>
    </row>
    <row r="2303" spans="45:46" x14ac:dyDescent="0.25">
      <c r="AS2303" s="65"/>
      <c r="AT2303" s="65"/>
    </row>
    <row r="2304" spans="45:46" x14ac:dyDescent="0.25">
      <c r="AS2304" s="65"/>
      <c r="AT2304" s="65"/>
    </row>
    <row r="2305" spans="45:46" x14ac:dyDescent="0.25">
      <c r="AS2305" s="65"/>
      <c r="AT2305" s="65"/>
    </row>
    <row r="2306" spans="45:46" x14ac:dyDescent="0.25">
      <c r="AS2306" s="65"/>
      <c r="AT2306" s="65"/>
    </row>
    <row r="2307" spans="45:46" x14ac:dyDescent="0.25">
      <c r="AS2307" s="65"/>
      <c r="AT2307" s="65"/>
    </row>
    <row r="2308" spans="45:46" x14ac:dyDescent="0.25">
      <c r="AS2308" s="65"/>
      <c r="AT2308" s="65"/>
    </row>
    <row r="2309" spans="45:46" x14ac:dyDescent="0.25">
      <c r="AS2309" s="65"/>
      <c r="AT2309" s="65"/>
    </row>
    <row r="2310" spans="45:46" x14ac:dyDescent="0.25">
      <c r="AS2310" s="65"/>
      <c r="AT2310" s="65"/>
    </row>
    <row r="2311" spans="45:46" x14ac:dyDescent="0.25">
      <c r="AS2311" s="65"/>
      <c r="AT2311" s="65"/>
    </row>
    <row r="2312" spans="45:46" x14ac:dyDescent="0.25">
      <c r="AS2312" s="65"/>
      <c r="AT2312" s="65"/>
    </row>
    <row r="2313" spans="45:46" x14ac:dyDescent="0.25">
      <c r="AS2313" s="65"/>
      <c r="AT2313" s="65"/>
    </row>
    <row r="2314" spans="45:46" x14ac:dyDescent="0.25">
      <c r="AS2314" s="65"/>
      <c r="AT2314" s="65"/>
    </row>
    <row r="2315" spans="45:46" x14ac:dyDescent="0.25">
      <c r="AS2315" s="65"/>
      <c r="AT2315" s="65"/>
    </row>
    <row r="2316" spans="45:46" x14ac:dyDescent="0.25">
      <c r="AS2316" s="65"/>
      <c r="AT2316" s="65"/>
    </row>
    <row r="2317" spans="45:46" x14ac:dyDescent="0.25">
      <c r="AS2317" s="65"/>
      <c r="AT2317" s="65"/>
    </row>
    <row r="2318" spans="45:46" x14ac:dyDescent="0.25">
      <c r="AS2318" s="65"/>
      <c r="AT2318" s="65"/>
    </row>
    <row r="2319" spans="45:46" x14ac:dyDescent="0.25">
      <c r="AS2319" s="65"/>
      <c r="AT2319" s="65"/>
    </row>
    <row r="2320" spans="45:46" x14ac:dyDescent="0.25">
      <c r="AS2320" s="65"/>
      <c r="AT2320" s="65"/>
    </row>
    <row r="2321" spans="45:46" x14ac:dyDescent="0.25">
      <c r="AS2321" s="65"/>
      <c r="AT2321" s="65"/>
    </row>
    <row r="2322" spans="45:46" x14ac:dyDescent="0.25">
      <c r="AS2322" s="65"/>
      <c r="AT2322" s="65"/>
    </row>
    <row r="2323" spans="45:46" x14ac:dyDescent="0.25">
      <c r="AS2323" s="65"/>
      <c r="AT2323" s="65"/>
    </row>
    <row r="2324" spans="45:46" x14ac:dyDescent="0.25">
      <c r="AS2324" s="65"/>
      <c r="AT2324" s="65"/>
    </row>
    <row r="2325" spans="45:46" x14ac:dyDescent="0.25">
      <c r="AS2325" s="65"/>
      <c r="AT2325" s="65"/>
    </row>
    <row r="2326" spans="45:46" x14ac:dyDescent="0.25">
      <c r="AS2326" s="65"/>
      <c r="AT2326" s="65"/>
    </row>
    <row r="2327" spans="45:46" x14ac:dyDescent="0.25">
      <c r="AS2327" s="65"/>
      <c r="AT2327" s="65"/>
    </row>
    <row r="2328" spans="45:46" x14ac:dyDescent="0.25">
      <c r="AS2328" s="65"/>
      <c r="AT2328" s="65"/>
    </row>
    <row r="2329" spans="45:46" x14ac:dyDescent="0.25">
      <c r="AS2329" s="65"/>
      <c r="AT2329" s="65"/>
    </row>
    <row r="2330" spans="45:46" x14ac:dyDescent="0.25">
      <c r="AS2330" s="65"/>
      <c r="AT2330" s="65"/>
    </row>
    <row r="2331" spans="45:46" x14ac:dyDescent="0.25">
      <c r="AS2331" s="65"/>
      <c r="AT2331" s="65"/>
    </row>
    <row r="2332" spans="45:46" x14ac:dyDescent="0.25">
      <c r="AS2332" s="65"/>
      <c r="AT2332" s="65"/>
    </row>
    <row r="2333" spans="45:46" x14ac:dyDescent="0.25">
      <c r="AS2333" s="65"/>
      <c r="AT2333" s="65"/>
    </row>
    <row r="2334" spans="45:46" x14ac:dyDescent="0.25">
      <c r="AS2334" s="65"/>
      <c r="AT2334" s="65"/>
    </row>
    <row r="2335" spans="45:46" x14ac:dyDescent="0.25">
      <c r="AS2335" s="65"/>
      <c r="AT2335" s="65"/>
    </row>
    <row r="2336" spans="45:46" x14ac:dyDescent="0.25">
      <c r="AS2336" s="65"/>
      <c r="AT2336" s="65"/>
    </row>
    <row r="2337" spans="45:46" x14ac:dyDescent="0.25">
      <c r="AS2337" s="65"/>
      <c r="AT2337" s="65"/>
    </row>
    <row r="2338" spans="45:46" x14ac:dyDescent="0.25">
      <c r="AS2338" s="65"/>
      <c r="AT2338" s="65"/>
    </row>
    <row r="2339" spans="45:46" x14ac:dyDescent="0.25">
      <c r="AS2339" s="65"/>
      <c r="AT2339" s="65"/>
    </row>
    <row r="2340" spans="45:46" x14ac:dyDescent="0.25">
      <c r="AS2340" s="65"/>
      <c r="AT2340" s="65"/>
    </row>
    <row r="2341" spans="45:46" x14ac:dyDescent="0.25">
      <c r="AS2341" s="65"/>
      <c r="AT2341" s="65"/>
    </row>
    <row r="2342" spans="45:46" x14ac:dyDescent="0.25">
      <c r="AS2342" s="65"/>
      <c r="AT2342" s="65"/>
    </row>
    <row r="2343" spans="45:46" x14ac:dyDescent="0.25">
      <c r="AS2343" s="65"/>
      <c r="AT2343" s="65"/>
    </row>
    <row r="2344" spans="45:46" x14ac:dyDescent="0.25">
      <c r="AS2344" s="65"/>
      <c r="AT2344" s="65"/>
    </row>
    <row r="2345" spans="45:46" x14ac:dyDescent="0.25">
      <c r="AS2345" s="65"/>
      <c r="AT2345" s="65"/>
    </row>
    <row r="2346" spans="45:46" x14ac:dyDescent="0.25">
      <c r="AS2346" s="65"/>
      <c r="AT2346" s="65"/>
    </row>
    <row r="2347" spans="45:46" x14ac:dyDescent="0.25">
      <c r="AS2347" s="65"/>
      <c r="AT2347" s="65"/>
    </row>
    <row r="2348" spans="45:46" x14ac:dyDescent="0.25">
      <c r="AS2348" s="65"/>
      <c r="AT2348" s="65"/>
    </row>
    <row r="2349" spans="45:46" x14ac:dyDescent="0.25">
      <c r="AS2349" s="65"/>
      <c r="AT2349" s="65"/>
    </row>
    <row r="2350" spans="45:46" x14ac:dyDescent="0.25">
      <c r="AS2350" s="65"/>
      <c r="AT2350" s="65"/>
    </row>
    <row r="2351" spans="45:46" x14ac:dyDescent="0.25">
      <c r="AS2351" s="65"/>
      <c r="AT2351" s="65"/>
    </row>
    <row r="2352" spans="45:46" x14ac:dyDescent="0.25">
      <c r="AS2352" s="65"/>
      <c r="AT2352" s="65"/>
    </row>
    <row r="2353" spans="45:46" x14ac:dyDescent="0.25">
      <c r="AS2353" s="65"/>
      <c r="AT2353" s="65"/>
    </row>
    <row r="2354" spans="45:46" x14ac:dyDescent="0.25">
      <c r="AS2354" s="65"/>
      <c r="AT2354" s="65"/>
    </row>
    <row r="2355" spans="45:46" x14ac:dyDescent="0.25">
      <c r="AS2355" s="65"/>
      <c r="AT2355" s="65"/>
    </row>
    <row r="2356" spans="45:46" x14ac:dyDescent="0.25">
      <c r="AS2356" s="65"/>
      <c r="AT2356" s="65"/>
    </row>
    <row r="2357" spans="45:46" x14ac:dyDescent="0.25">
      <c r="AS2357" s="65"/>
      <c r="AT2357" s="65"/>
    </row>
    <row r="2358" spans="45:46" x14ac:dyDescent="0.25">
      <c r="AS2358" s="65"/>
      <c r="AT2358" s="65"/>
    </row>
    <row r="2359" spans="45:46" x14ac:dyDescent="0.25">
      <c r="AS2359" s="65"/>
      <c r="AT2359" s="65"/>
    </row>
    <row r="2360" spans="45:46" x14ac:dyDescent="0.25">
      <c r="AS2360" s="65"/>
      <c r="AT2360" s="65"/>
    </row>
    <row r="2361" spans="45:46" x14ac:dyDescent="0.25">
      <c r="AS2361" s="65"/>
      <c r="AT2361" s="65"/>
    </row>
    <row r="2362" spans="45:46" x14ac:dyDescent="0.25">
      <c r="AS2362" s="65"/>
      <c r="AT2362" s="65"/>
    </row>
    <row r="2363" spans="45:46" x14ac:dyDescent="0.25">
      <c r="AS2363" s="65"/>
      <c r="AT2363" s="65"/>
    </row>
    <row r="2364" spans="45:46" x14ac:dyDescent="0.25">
      <c r="AS2364" s="65"/>
      <c r="AT2364" s="65"/>
    </row>
    <row r="2365" spans="45:46" x14ac:dyDescent="0.25">
      <c r="AS2365" s="65"/>
      <c r="AT2365" s="65"/>
    </row>
    <row r="2366" spans="45:46" x14ac:dyDescent="0.25">
      <c r="AS2366" s="65"/>
      <c r="AT2366" s="65"/>
    </row>
    <row r="2367" spans="45:46" x14ac:dyDescent="0.25">
      <c r="AS2367" s="65"/>
      <c r="AT2367" s="65"/>
    </row>
    <row r="2368" spans="45:46" x14ac:dyDescent="0.25">
      <c r="AS2368" s="65"/>
      <c r="AT2368" s="65"/>
    </row>
    <row r="2369" spans="45:46" x14ac:dyDescent="0.25">
      <c r="AS2369" s="65"/>
      <c r="AT2369" s="65"/>
    </row>
    <row r="2370" spans="45:46" x14ac:dyDescent="0.25">
      <c r="AS2370" s="65"/>
      <c r="AT2370" s="65"/>
    </row>
    <row r="2371" spans="45:46" x14ac:dyDescent="0.25">
      <c r="AS2371" s="65"/>
      <c r="AT2371" s="65"/>
    </row>
    <row r="2372" spans="45:46" x14ac:dyDescent="0.25">
      <c r="AS2372" s="65"/>
      <c r="AT2372" s="65"/>
    </row>
    <row r="2373" spans="45:46" x14ac:dyDescent="0.25">
      <c r="AS2373" s="65"/>
      <c r="AT2373" s="65"/>
    </row>
    <row r="2374" spans="45:46" x14ac:dyDescent="0.25">
      <c r="AS2374" s="65"/>
      <c r="AT2374" s="65"/>
    </row>
    <row r="2375" spans="45:46" x14ac:dyDescent="0.25">
      <c r="AS2375" s="65"/>
      <c r="AT2375" s="65"/>
    </row>
    <row r="2376" spans="45:46" x14ac:dyDescent="0.25">
      <c r="AS2376" s="65"/>
      <c r="AT2376" s="65"/>
    </row>
    <row r="2377" spans="45:46" x14ac:dyDescent="0.25">
      <c r="AS2377" s="65"/>
      <c r="AT2377" s="65"/>
    </row>
    <row r="2378" spans="45:46" x14ac:dyDescent="0.25">
      <c r="AS2378" s="65"/>
      <c r="AT2378" s="65"/>
    </row>
    <row r="2379" spans="45:46" x14ac:dyDescent="0.25">
      <c r="AS2379" s="65"/>
      <c r="AT2379" s="65"/>
    </row>
    <row r="2380" spans="45:46" x14ac:dyDescent="0.25">
      <c r="AS2380" s="65"/>
      <c r="AT2380" s="65"/>
    </row>
    <row r="2381" spans="45:46" x14ac:dyDescent="0.25">
      <c r="AS2381" s="65"/>
      <c r="AT2381" s="65"/>
    </row>
    <row r="2382" spans="45:46" x14ac:dyDescent="0.25">
      <c r="AS2382" s="65"/>
      <c r="AT2382" s="65"/>
    </row>
    <row r="2383" spans="45:46" x14ac:dyDescent="0.25">
      <c r="AS2383" s="65"/>
      <c r="AT2383" s="65"/>
    </row>
    <row r="2384" spans="45:46" x14ac:dyDescent="0.25">
      <c r="AS2384" s="65"/>
      <c r="AT2384" s="65"/>
    </row>
    <row r="2385" spans="45:46" x14ac:dyDescent="0.25">
      <c r="AS2385" s="65"/>
      <c r="AT2385" s="65"/>
    </row>
    <row r="2386" spans="45:46" x14ac:dyDescent="0.25">
      <c r="AS2386" s="65"/>
      <c r="AT2386" s="65"/>
    </row>
    <row r="2387" spans="45:46" x14ac:dyDescent="0.25">
      <c r="AS2387" s="65"/>
      <c r="AT2387" s="65"/>
    </row>
    <row r="2388" spans="45:46" x14ac:dyDescent="0.25">
      <c r="AS2388" s="65"/>
      <c r="AT2388" s="65"/>
    </row>
    <row r="2389" spans="45:46" x14ac:dyDescent="0.25">
      <c r="AS2389" s="65"/>
      <c r="AT2389" s="65"/>
    </row>
    <row r="2390" spans="45:46" x14ac:dyDescent="0.25">
      <c r="AS2390" s="65"/>
      <c r="AT2390" s="65"/>
    </row>
    <row r="2391" spans="45:46" x14ac:dyDescent="0.25">
      <c r="AS2391" s="65"/>
      <c r="AT2391" s="65"/>
    </row>
    <row r="2392" spans="45:46" x14ac:dyDescent="0.25">
      <c r="AS2392" s="65"/>
      <c r="AT2392" s="65"/>
    </row>
    <row r="2393" spans="45:46" x14ac:dyDescent="0.25">
      <c r="AS2393" s="65"/>
      <c r="AT2393" s="65"/>
    </row>
    <row r="2394" spans="45:46" x14ac:dyDescent="0.25">
      <c r="AS2394" s="65"/>
      <c r="AT2394" s="65"/>
    </row>
    <row r="2395" spans="45:46" x14ac:dyDescent="0.25">
      <c r="AS2395" s="65"/>
      <c r="AT2395" s="65"/>
    </row>
    <row r="2396" spans="45:46" x14ac:dyDescent="0.25">
      <c r="AS2396" s="65"/>
      <c r="AT2396" s="65"/>
    </row>
    <row r="2397" spans="45:46" x14ac:dyDescent="0.25">
      <c r="AS2397" s="65"/>
      <c r="AT2397" s="65"/>
    </row>
    <row r="2398" spans="45:46" x14ac:dyDescent="0.25">
      <c r="AS2398" s="65"/>
      <c r="AT2398" s="65"/>
    </row>
    <row r="2399" spans="45:46" x14ac:dyDescent="0.25">
      <c r="AS2399" s="65"/>
      <c r="AT2399" s="65"/>
    </row>
    <row r="2400" spans="45:46" x14ac:dyDescent="0.25">
      <c r="AS2400" s="65"/>
      <c r="AT2400" s="65"/>
    </row>
    <row r="2401" spans="45:46" x14ac:dyDescent="0.25">
      <c r="AS2401" s="65"/>
      <c r="AT2401" s="65"/>
    </row>
    <row r="2402" spans="45:46" x14ac:dyDescent="0.25">
      <c r="AS2402" s="65"/>
      <c r="AT2402" s="65"/>
    </row>
    <row r="2403" spans="45:46" x14ac:dyDescent="0.25">
      <c r="AS2403" s="65"/>
      <c r="AT2403" s="65"/>
    </row>
    <row r="2404" spans="45:46" x14ac:dyDescent="0.25">
      <c r="AS2404" s="65"/>
      <c r="AT2404" s="65"/>
    </row>
    <row r="2405" spans="45:46" x14ac:dyDescent="0.25">
      <c r="AS2405" s="65"/>
      <c r="AT2405" s="65"/>
    </row>
    <row r="2406" spans="45:46" x14ac:dyDescent="0.25">
      <c r="AS2406" s="65"/>
      <c r="AT2406" s="65"/>
    </row>
    <row r="2407" spans="45:46" x14ac:dyDescent="0.25">
      <c r="AS2407" s="65"/>
      <c r="AT2407" s="65"/>
    </row>
    <row r="2408" spans="45:46" x14ac:dyDescent="0.25">
      <c r="AS2408" s="65"/>
      <c r="AT2408" s="65"/>
    </row>
    <row r="2409" spans="45:46" x14ac:dyDescent="0.25">
      <c r="AS2409" s="65"/>
      <c r="AT2409" s="65"/>
    </row>
    <row r="2410" spans="45:46" x14ac:dyDescent="0.25">
      <c r="AS2410" s="65"/>
      <c r="AT2410" s="65"/>
    </row>
    <row r="2411" spans="45:46" x14ac:dyDescent="0.25">
      <c r="AS2411" s="65"/>
      <c r="AT2411" s="65"/>
    </row>
    <row r="2412" spans="45:46" x14ac:dyDescent="0.25">
      <c r="AS2412" s="65"/>
      <c r="AT2412" s="65"/>
    </row>
    <row r="2413" spans="45:46" x14ac:dyDescent="0.25">
      <c r="AS2413" s="65"/>
      <c r="AT2413" s="65"/>
    </row>
    <row r="2414" spans="45:46" x14ac:dyDescent="0.25">
      <c r="AS2414" s="65"/>
      <c r="AT2414" s="65"/>
    </row>
    <row r="2415" spans="45:46" x14ac:dyDescent="0.25">
      <c r="AS2415" s="65"/>
      <c r="AT2415" s="65"/>
    </row>
    <row r="2416" spans="45:46" x14ac:dyDescent="0.25">
      <c r="AS2416" s="65"/>
      <c r="AT2416" s="65"/>
    </row>
    <row r="2417" spans="45:46" x14ac:dyDescent="0.25">
      <c r="AS2417" s="65"/>
      <c r="AT2417" s="65"/>
    </row>
    <row r="2418" spans="45:46" x14ac:dyDescent="0.25">
      <c r="AS2418" s="65"/>
      <c r="AT2418" s="65"/>
    </row>
    <row r="2419" spans="45:46" x14ac:dyDescent="0.25">
      <c r="AS2419" s="65"/>
      <c r="AT2419" s="65"/>
    </row>
    <row r="2420" spans="45:46" x14ac:dyDescent="0.25">
      <c r="AS2420" s="65"/>
      <c r="AT2420" s="65"/>
    </row>
    <row r="2421" spans="45:46" x14ac:dyDescent="0.25">
      <c r="AS2421" s="65"/>
      <c r="AT2421" s="65"/>
    </row>
    <row r="2422" spans="45:46" x14ac:dyDescent="0.25">
      <c r="AS2422" s="65"/>
      <c r="AT2422" s="65"/>
    </row>
    <row r="2423" spans="45:46" x14ac:dyDescent="0.25">
      <c r="AS2423" s="65"/>
      <c r="AT2423" s="65"/>
    </row>
    <row r="2424" spans="45:46" x14ac:dyDescent="0.25">
      <c r="AS2424" s="65"/>
      <c r="AT2424" s="65"/>
    </row>
    <row r="2425" spans="45:46" x14ac:dyDescent="0.25">
      <c r="AS2425" s="65"/>
      <c r="AT2425" s="65"/>
    </row>
    <row r="2426" spans="45:46" x14ac:dyDescent="0.25">
      <c r="AS2426" s="65"/>
      <c r="AT2426" s="65"/>
    </row>
    <row r="2427" spans="45:46" x14ac:dyDescent="0.25">
      <c r="AS2427" s="65"/>
      <c r="AT2427" s="65"/>
    </row>
    <row r="2428" spans="45:46" x14ac:dyDescent="0.25">
      <c r="AS2428" s="65"/>
      <c r="AT2428" s="65"/>
    </row>
    <row r="2429" spans="45:46" x14ac:dyDescent="0.25">
      <c r="AS2429" s="65"/>
      <c r="AT2429" s="65"/>
    </row>
    <row r="2430" spans="45:46" x14ac:dyDescent="0.25">
      <c r="AS2430" s="65"/>
      <c r="AT2430" s="65"/>
    </row>
    <row r="2431" spans="45:46" x14ac:dyDescent="0.25">
      <c r="AS2431" s="65"/>
      <c r="AT2431" s="65"/>
    </row>
    <row r="2432" spans="45:46" x14ac:dyDescent="0.25">
      <c r="AS2432" s="65"/>
      <c r="AT2432" s="65"/>
    </row>
    <row r="2433" spans="45:46" x14ac:dyDescent="0.25">
      <c r="AS2433" s="65"/>
      <c r="AT2433" s="65"/>
    </row>
    <row r="2434" spans="45:46" x14ac:dyDescent="0.25">
      <c r="AS2434" s="65"/>
      <c r="AT2434" s="65"/>
    </row>
    <row r="2435" spans="45:46" x14ac:dyDescent="0.25">
      <c r="AS2435" s="65"/>
      <c r="AT2435" s="65"/>
    </row>
    <row r="2436" spans="45:46" x14ac:dyDescent="0.25">
      <c r="AS2436" s="65"/>
      <c r="AT2436" s="65"/>
    </row>
    <row r="2437" spans="45:46" x14ac:dyDescent="0.25">
      <c r="AS2437" s="65"/>
      <c r="AT2437" s="65"/>
    </row>
    <row r="2438" spans="45:46" x14ac:dyDescent="0.25">
      <c r="AS2438" s="65"/>
      <c r="AT2438" s="65"/>
    </row>
    <row r="2439" spans="45:46" x14ac:dyDescent="0.25">
      <c r="AS2439" s="65"/>
      <c r="AT2439" s="65"/>
    </row>
    <row r="2440" spans="45:46" x14ac:dyDescent="0.25">
      <c r="AS2440" s="65"/>
      <c r="AT2440" s="65"/>
    </row>
    <row r="2441" spans="45:46" x14ac:dyDescent="0.25">
      <c r="AS2441" s="65"/>
      <c r="AT2441" s="65"/>
    </row>
    <row r="2442" spans="45:46" x14ac:dyDescent="0.25">
      <c r="AS2442" s="65"/>
      <c r="AT2442" s="65"/>
    </row>
    <row r="2443" spans="45:46" x14ac:dyDescent="0.25">
      <c r="AS2443" s="65"/>
      <c r="AT2443" s="65"/>
    </row>
    <row r="2444" spans="45:46" x14ac:dyDescent="0.25">
      <c r="AS2444" s="65"/>
      <c r="AT2444" s="65"/>
    </row>
    <row r="2445" spans="45:46" x14ac:dyDescent="0.25">
      <c r="AS2445" s="65"/>
      <c r="AT2445" s="65"/>
    </row>
    <row r="2446" spans="45:46" x14ac:dyDescent="0.25">
      <c r="AS2446" s="65"/>
      <c r="AT2446" s="65"/>
    </row>
    <row r="2447" spans="45:46" x14ac:dyDescent="0.25">
      <c r="AS2447" s="65"/>
      <c r="AT2447" s="65"/>
    </row>
    <row r="2448" spans="45:46" x14ac:dyDescent="0.25">
      <c r="AS2448" s="65"/>
      <c r="AT2448" s="65"/>
    </row>
    <row r="2449" spans="45:46" x14ac:dyDescent="0.25">
      <c r="AS2449" s="65"/>
      <c r="AT2449" s="65"/>
    </row>
    <row r="2450" spans="45:46" x14ac:dyDescent="0.25">
      <c r="AS2450" s="65"/>
      <c r="AT2450" s="65"/>
    </row>
    <row r="2451" spans="45:46" x14ac:dyDescent="0.25">
      <c r="AS2451" s="65"/>
      <c r="AT2451" s="65"/>
    </row>
    <row r="2452" spans="45:46" x14ac:dyDescent="0.25">
      <c r="AS2452" s="65"/>
      <c r="AT2452" s="65"/>
    </row>
    <row r="2453" spans="45:46" x14ac:dyDescent="0.25">
      <c r="AS2453" s="65"/>
      <c r="AT2453" s="65"/>
    </row>
    <row r="2454" spans="45:46" x14ac:dyDescent="0.25">
      <c r="AS2454" s="65"/>
      <c r="AT2454" s="65"/>
    </row>
    <row r="2455" spans="45:46" x14ac:dyDescent="0.25">
      <c r="AS2455" s="65"/>
      <c r="AT2455" s="65"/>
    </row>
    <row r="2456" spans="45:46" x14ac:dyDescent="0.25">
      <c r="AS2456" s="65"/>
      <c r="AT2456" s="65"/>
    </row>
    <row r="2457" spans="45:46" x14ac:dyDescent="0.25">
      <c r="AS2457" s="65"/>
      <c r="AT2457" s="65"/>
    </row>
    <row r="2458" spans="45:46" x14ac:dyDescent="0.25">
      <c r="AS2458" s="65"/>
      <c r="AT2458" s="65"/>
    </row>
    <row r="2459" spans="45:46" x14ac:dyDescent="0.25">
      <c r="AS2459" s="65"/>
      <c r="AT2459" s="65"/>
    </row>
    <row r="2460" spans="45:46" x14ac:dyDescent="0.25">
      <c r="AS2460" s="65"/>
      <c r="AT2460" s="65"/>
    </row>
    <row r="2461" spans="45:46" x14ac:dyDescent="0.25">
      <c r="AS2461" s="65"/>
      <c r="AT2461" s="65"/>
    </row>
    <row r="2462" spans="45:46" x14ac:dyDescent="0.25">
      <c r="AS2462" s="65"/>
      <c r="AT2462" s="65"/>
    </row>
    <row r="2463" spans="45:46" x14ac:dyDescent="0.25">
      <c r="AS2463" s="65"/>
      <c r="AT2463" s="65"/>
    </row>
    <row r="2464" spans="45:46" x14ac:dyDescent="0.25">
      <c r="AS2464" s="65"/>
      <c r="AT2464" s="65"/>
    </row>
    <row r="2465" spans="45:46" x14ac:dyDescent="0.25">
      <c r="AS2465" s="65"/>
      <c r="AT2465" s="65"/>
    </row>
    <row r="2466" spans="45:46" x14ac:dyDescent="0.25">
      <c r="AS2466" s="65"/>
      <c r="AT2466" s="65"/>
    </row>
    <row r="2467" spans="45:46" x14ac:dyDescent="0.25">
      <c r="AS2467" s="65"/>
      <c r="AT2467" s="65"/>
    </row>
    <row r="2468" spans="45:46" x14ac:dyDescent="0.25">
      <c r="AS2468" s="65"/>
      <c r="AT2468" s="65"/>
    </row>
    <row r="2469" spans="45:46" x14ac:dyDescent="0.25">
      <c r="AS2469" s="65"/>
      <c r="AT2469" s="65"/>
    </row>
    <row r="2470" spans="45:46" x14ac:dyDescent="0.25">
      <c r="AS2470" s="65"/>
      <c r="AT2470" s="65"/>
    </row>
    <row r="2471" spans="45:46" x14ac:dyDescent="0.25">
      <c r="AS2471" s="65"/>
      <c r="AT2471" s="65"/>
    </row>
    <row r="2472" spans="45:46" x14ac:dyDescent="0.25">
      <c r="AS2472" s="65"/>
      <c r="AT2472" s="65"/>
    </row>
    <row r="2473" spans="45:46" x14ac:dyDescent="0.25">
      <c r="AS2473" s="65"/>
      <c r="AT2473" s="65"/>
    </row>
    <row r="2474" spans="45:46" x14ac:dyDescent="0.25">
      <c r="AS2474" s="65"/>
      <c r="AT2474" s="65"/>
    </row>
    <row r="2475" spans="45:46" x14ac:dyDescent="0.25">
      <c r="AS2475" s="65"/>
      <c r="AT2475" s="65"/>
    </row>
    <row r="2476" spans="45:46" x14ac:dyDescent="0.25">
      <c r="AS2476" s="65"/>
      <c r="AT2476" s="65"/>
    </row>
    <row r="2477" spans="45:46" x14ac:dyDescent="0.25">
      <c r="AS2477" s="65"/>
      <c r="AT2477" s="65"/>
    </row>
    <row r="2478" spans="45:46" x14ac:dyDescent="0.25">
      <c r="AS2478" s="65"/>
      <c r="AT2478" s="65"/>
    </row>
    <row r="2479" spans="45:46" x14ac:dyDescent="0.25">
      <c r="AS2479" s="65"/>
      <c r="AT2479" s="65"/>
    </row>
    <row r="2480" spans="45:46" x14ac:dyDescent="0.25">
      <c r="AS2480" s="65"/>
      <c r="AT2480" s="65"/>
    </row>
    <row r="2481" spans="45:46" x14ac:dyDescent="0.25">
      <c r="AS2481" s="65"/>
      <c r="AT2481" s="65"/>
    </row>
    <row r="2482" spans="45:46" x14ac:dyDescent="0.25">
      <c r="AS2482" s="65"/>
      <c r="AT2482" s="65"/>
    </row>
    <row r="2483" spans="45:46" x14ac:dyDescent="0.25">
      <c r="AS2483" s="65"/>
      <c r="AT2483" s="65"/>
    </row>
    <row r="2484" spans="45:46" x14ac:dyDescent="0.25">
      <c r="AS2484" s="65"/>
      <c r="AT2484" s="65"/>
    </row>
    <row r="2485" spans="45:46" x14ac:dyDescent="0.25">
      <c r="AS2485" s="65"/>
      <c r="AT2485" s="65"/>
    </row>
    <row r="2486" spans="45:46" x14ac:dyDescent="0.25">
      <c r="AS2486" s="65"/>
      <c r="AT2486" s="65"/>
    </row>
    <row r="2487" spans="45:46" x14ac:dyDescent="0.25">
      <c r="AS2487" s="65"/>
      <c r="AT2487" s="65"/>
    </row>
    <row r="2488" spans="45:46" x14ac:dyDescent="0.25">
      <c r="AS2488" s="65"/>
      <c r="AT2488" s="65"/>
    </row>
    <row r="2489" spans="45:46" x14ac:dyDescent="0.25">
      <c r="AS2489" s="65"/>
      <c r="AT2489" s="65"/>
    </row>
    <row r="2490" spans="45:46" x14ac:dyDescent="0.25">
      <c r="AS2490" s="65"/>
      <c r="AT2490" s="65"/>
    </row>
    <row r="2491" spans="45:46" x14ac:dyDescent="0.25">
      <c r="AS2491" s="65"/>
      <c r="AT2491" s="65"/>
    </row>
    <row r="2492" spans="45:46" x14ac:dyDescent="0.25">
      <c r="AS2492" s="65"/>
      <c r="AT2492" s="65"/>
    </row>
    <row r="2493" spans="45:46" x14ac:dyDescent="0.25">
      <c r="AS2493" s="65"/>
      <c r="AT2493" s="65"/>
    </row>
    <row r="2494" spans="45:46" x14ac:dyDescent="0.25">
      <c r="AS2494" s="65"/>
      <c r="AT2494" s="65"/>
    </row>
    <row r="2495" spans="45:46" x14ac:dyDescent="0.25">
      <c r="AS2495" s="65"/>
      <c r="AT2495" s="65"/>
    </row>
    <row r="2496" spans="45:46" x14ac:dyDescent="0.25">
      <c r="AS2496" s="65"/>
      <c r="AT2496" s="65"/>
    </row>
    <row r="2497" spans="45:46" x14ac:dyDescent="0.25">
      <c r="AS2497" s="65"/>
      <c r="AT2497" s="65"/>
    </row>
    <row r="2498" spans="45:46" x14ac:dyDescent="0.25">
      <c r="AS2498" s="65"/>
      <c r="AT2498" s="65"/>
    </row>
    <row r="2499" spans="45:46" x14ac:dyDescent="0.25">
      <c r="AS2499" s="65"/>
      <c r="AT2499" s="65"/>
    </row>
    <row r="2500" spans="45:46" x14ac:dyDescent="0.25">
      <c r="AS2500" s="65"/>
      <c r="AT2500" s="65"/>
    </row>
    <row r="2501" spans="45:46" x14ac:dyDescent="0.25">
      <c r="AS2501" s="65"/>
      <c r="AT2501" s="65"/>
    </row>
    <row r="2502" spans="45:46" x14ac:dyDescent="0.25">
      <c r="AS2502" s="65"/>
      <c r="AT2502" s="65"/>
    </row>
    <row r="2503" spans="45:46" x14ac:dyDescent="0.25">
      <c r="AS2503" s="65"/>
      <c r="AT2503" s="65"/>
    </row>
    <row r="2504" spans="45:46" x14ac:dyDescent="0.25">
      <c r="AS2504" s="65"/>
      <c r="AT2504" s="65"/>
    </row>
    <row r="2505" spans="45:46" x14ac:dyDescent="0.25">
      <c r="AS2505" s="65"/>
      <c r="AT2505" s="65"/>
    </row>
    <row r="2506" spans="45:46" x14ac:dyDescent="0.25">
      <c r="AS2506" s="65"/>
      <c r="AT2506" s="65"/>
    </row>
    <row r="2507" spans="45:46" x14ac:dyDescent="0.25">
      <c r="AS2507" s="65"/>
      <c r="AT2507" s="65"/>
    </row>
    <row r="2508" spans="45:46" x14ac:dyDescent="0.25">
      <c r="AS2508" s="65"/>
      <c r="AT2508" s="65"/>
    </row>
    <row r="2509" spans="45:46" x14ac:dyDescent="0.25">
      <c r="AS2509" s="65"/>
      <c r="AT2509" s="65"/>
    </row>
    <row r="2510" spans="45:46" x14ac:dyDescent="0.25">
      <c r="AS2510" s="65"/>
      <c r="AT2510" s="65"/>
    </row>
    <row r="2511" spans="45:46" x14ac:dyDescent="0.25">
      <c r="AS2511" s="65"/>
      <c r="AT2511" s="65"/>
    </row>
    <row r="2512" spans="45:46" x14ac:dyDescent="0.25">
      <c r="AS2512" s="65"/>
      <c r="AT2512" s="65"/>
    </row>
    <row r="2513" spans="45:46" x14ac:dyDescent="0.25">
      <c r="AS2513" s="65"/>
      <c r="AT2513" s="65"/>
    </row>
    <row r="2514" spans="45:46" x14ac:dyDescent="0.25">
      <c r="AS2514" s="65"/>
      <c r="AT2514" s="65"/>
    </row>
    <row r="2515" spans="45:46" x14ac:dyDescent="0.25">
      <c r="AS2515" s="65"/>
      <c r="AT2515" s="65"/>
    </row>
    <row r="2516" spans="45:46" x14ac:dyDescent="0.25">
      <c r="AS2516" s="65"/>
      <c r="AT2516" s="65"/>
    </row>
    <row r="2517" spans="45:46" x14ac:dyDescent="0.25">
      <c r="AS2517" s="65"/>
      <c r="AT2517" s="65"/>
    </row>
    <row r="2518" spans="45:46" x14ac:dyDescent="0.25">
      <c r="AS2518" s="65"/>
      <c r="AT2518" s="65"/>
    </row>
    <row r="2519" spans="45:46" x14ac:dyDescent="0.25">
      <c r="AS2519" s="65"/>
      <c r="AT2519" s="65"/>
    </row>
    <row r="2520" spans="45:46" x14ac:dyDescent="0.25">
      <c r="AS2520" s="65"/>
      <c r="AT2520" s="65"/>
    </row>
    <row r="2521" spans="45:46" x14ac:dyDescent="0.25">
      <c r="AS2521" s="65"/>
      <c r="AT2521" s="65"/>
    </row>
    <row r="2522" spans="45:46" x14ac:dyDescent="0.25">
      <c r="AS2522" s="65"/>
      <c r="AT2522" s="65"/>
    </row>
    <row r="2523" spans="45:46" x14ac:dyDescent="0.25">
      <c r="AS2523" s="65"/>
      <c r="AT2523" s="65"/>
    </row>
    <row r="2524" spans="45:46" x14ac:dyDescent="0.25">
      <c r="AS2524" s="65"/>
      <c r="AT2524" s="65"/>
    </row>
    <row r="2525" spans="45:46" x14ac:dyDescent="0.25">
      <c r="AS2525" s="65"/>
      <c r="AT2525" s="65"/>
    </row>
    <row r="2526" spans="45:46" x14ac:dyDescent="0.25">
      <c r="AS2526" s="65"/>
      <c r="AT2526" s="65"/>
    </row>
    <row r="2527" spans="45:46" x14ac:dyDescent="0.25">
      <c r="AS2527" s="65"/>
      <c r="AT2527" s="65"/>
    </row>
    <row r="2528" spans="45:46" x14ac:dyDescent="0.25">
      <c r="AS2528" s="65"/>
      <c r="AT2528" s="65"/>
    </row>
    <row r="2529" spans="45:46" x14ac:dyDescent="0.25">
      <c r="AS2529" s="65"/>
      <c r="AT2529" s="65"/>
    </row>
    <row r="2530" spans="45:46" x14ac:dyDescent="0.25">
      <c r="AS2530" s="65"/>
      <c r="AT2530" s="65"/>
    </row>
    <row r="2531" spans="45:46" x14ac:dyDescent="0.25">
      <c r="AS2531" s="65"/>
      <c r="AT2531" s="65"/>
    </row>
    <row r="2532" spans="45:46" x14ac:dyDescent="0.25">
      <c r="AS2532" s="65"/>
      <c r="AT2532" s="65"/>
    </row>
    <row r="2533" spans="45:46" x14ac:dyDescent="0.25">
      <c r="AS2533" s="65"/>
      <c r="AT2533" s="65"/>
    </row>
    <row r="2534" spans="45:46" x14ac:dyDescent="0.25">
      <c r="AS2534" s="65"/>
      <c r="AT2534" s="65"/>
    </row>
    <row r="2535" spans="45:46" x14ac:dyDescent="0.25">
      <c r="AS2535" s="65"/>
      <c r="AT2535" s="65"/>
    </row>
    <row r="2536" spans="45:46" x14ac:dyDescent="0.25">
      <c r="AS2536" s="65"/>
      <c r="AT2536" s="65"/>
    </row>
    <row r="2537" spans="45:46" x14ac:dyDescent="0.25">
      <c r="AS2537" s="65"/>
      <c r="AT2537" s="65"/>
    </row>
    <row r="2538" spans="45:46" x14ac:dyDescent="0.25">
      <c r="AS2538" s="65"/>
      <c r="AT2538" s="65"/>
    </row>
    <row r="2539" spans="45:46" x14ac:dyDescent="0.25">
      <c r="AS2539" s="65"/>
      <c r="AT2539" s="65"/>
    </row>
    <row r="2540" spans="45:46" x14ac:dyDescent="0.25">
      <c r="AS2540" s="65"/>
      <c r="AT2540" s="65"/>
    </row>
    <row r="2541" spans="45:46" x14ac:dyDescent="0.25">
      <c r="AS2541" s="65"/>
      <c r="AT2541" s="65"/>
    </row>
    <row r="2542" spans="45:46" x14ac:dyDescent="0.25">
      <c r="AS2542" s="65"/>
      <c r="AT2542" s="65"/>
    </row>
    <row r="2543" spans="45:46" x14ac:dyDescent="0.25">
      <c r="AS2543" s="65"/>
      <c r="AT2543" s="65"/>
    </row>
    <row r="2544" spans="45:46" x14ac:dyDescent="0.25">
      <c r="AS2544" s="65"/>
      <c r="AT2544" s="65"/>
    </row>
    <row r="2545" spans="45:46" x14ac:dyDescent="0.25">
      <c r="AS2545" s="65"/>
      <c r="AT2545" s="65"/>
    </row>
    <row r="2546" spans="45:46" x14ac:dyDescent="0.25">
      <c r="AS2546" s="65"/>
      <c r="AT2546" s="65"/>
    </row>
    <row r="2547" spans="45:46" x14ac:dyDescent="0.25">
      <c r="AS2547" s="65"/>
      <c r="AT2547" s="65"/>
    </row>
    <row r="2548" spans="45:46" x14ac:dyDescent="0.25">
      <c r="AS2548" s="65"/>
      <c r="AT2548" s="65"/>
    </row>
    <row r="2549" spans="45:46" x14ac:dyDescent="0.25">
      <c r="AS2549" s="65"/>
      <c r="AT2549" s="65"/>
    </row>
    <row r="2550" spans="45:46" x14ac:dyDescent="0.25">
      <c r="AS2550" s="65"/>
      <c r="AT2550" s="65"/>
    </row>
    <row r="2551" spans="45:46" x14ac:dyDescent="0.25">
      <c r="AS2551" s="65"/>
      <c r="AT2551" s="65"/>
    </row>
    <row r="2552" spans="45:46" x14ac:dyDescent="0.25">
      <c r="AS2552" s="65"/>
      <c r="AT2552" s="65"/>
    </row>
    <row r="2553" spans="45:46" x14ac:dyDescent="0.25">
      <c r="AS2553" s="65"/>
      <c r="AT2553" s="65"/>
    </row>
    <row r="2554" spans="45:46" x14ac:dyDescent="0.25">
      <c r="AS2554" s="65"/>
      <c r="AT2554" s="65"/>
    </row>
    <row r="2555" spans="45:46" x14ac:dyDescent="0.25">
      <c r="AS2555" s="65"/>
      <c r="AT2555" s="65"/>
    </row>
    <row r="2556" spans="45:46" x14ac:dyDescent="0.25">
      <c r="AS2556" s="65"/>
      <c r="AT2556" s="65"/>
    </row>
    <row r="2557" spans="45:46" x14ac:dyDescent="0.25">
      <c r="AS2557" s="65"/>
      <c r="AT2557" s="65"/>
    </row>
    <row r="2558" spans="45:46" x14ac:dyDescent="0.25">
      <c r="AS2558" s="65"/>
      <c r="AT2558" s="65"/>
    </row>
    <row r="2559" spans="45:46" x14ac:dyDescent="0.25">
      <c r="AS2559" s="65"/>
      <c r="AT2559" s="65"/>
    </row>
    <row r="2560" spans="45:46" x14ac:dyDescent="0.25">
      <c r="AS2560" s="65"/>
      <c r="AT2560" s="65"/>
    </row>
    <row r="2561" spans="45:46" x14ac:dyDescent="0.25">
      <c r="AS2561" s="65"/>
      <c r="AT2561" s="65"/>
    </row>
    <row r="2562" spans="45:46" x14ac:dyDescent="0.25">
      <c r="AS2562" s="65"/>
      <c r="AT2562" s="65"/>
    </row>
    <row r="2563" spans="45:46" x14ac:dyDescent="0.25">
      <c r="AS2563" s="65"/>
      <c r="AT2563" s="65"/>
    </row>
    <row r="2564" spans="45:46" x14ac:dyDescent="0.25">
      <c r="AS2564" s="65"/>
      <c r="AT2564" s="65"/>
    </row>
    <row r="2565" spans="45:46" x14ac:dyDescent="0.25">
      <c r="AS2565" s="65"/>
      <c r="AT2565" s="65"/>
    </row>
    <row r="2566" spans="45:46" x14ac:dyDescent="0.25">
      <c r="AS2566" s="65"/>
      <c r="AT2566" s="65"/>
    </row>
    <row r="2567" spans="45:46" x14ac:dyDescent="0.25">
      <c r="AS2567" s="65"/>
      <c r="AT2567" s="65"/>
    </row>
    <row r="2568" spans="45:46" x14ac:dyDescent="0.25">
      <c r="AS2568" s="65"/>
      <c r="AT2568" s="65"/>
    </row>
    <row r="2569" spans="45:46" x14ac:dyDescent="0.25">
      <c r="AS2569" s="65"/>
      <c r="AT2569" s="65"/>
    </row>
    <row r="2570" spans="45:46" x14ac:dyDescent="0.25">
      <c r="AS2570" s="65"/>
      <c r="AT2570" s="65"/>
    </row>
    <row r="2571" spans="45:46" x14ac:dyDescent="0.25">
      <c r="AS2571" s="65"/>
      <c r="AT2571" s="65"/>
    </row>
    <row r="2572" spans="45:46" x14ac:dyDescent="0.25">
      <c r="AS2572" s="65"/>
      <c r="AT2572" s="65"/>
    </row>
    <row r="2573" spans="45:46" x14ac:dyDescent="0.25">
      <c r="AS2573" s="65"/>
      <c r="AT2573" s="65"/>
    </row>
    <row r="2574" spans="45:46" x14ac:dyDescent="0.25">
      <c r="AS2574" s="65"/>
      <c r="AT2574" s="65"/>
    </row>
    <row r="2575" spans="45:46" x14ac:dyDescent="0.25">
      <c r="AS2575" s="65"/>
      <c r="AT2575" s="65"/>
    </row>
    <row r="2576" spans="45:46" x14ac:dyDescent="0.25">
      <c r="AS2576" s="65"/>
      <c r="AT2576" s="65"/>
    </row>
    <row r="2577" spans="45:46" x14ac:dyDescent="0.25">
      <c r="AS2577" s="65"/>
      <c r="AT2577" s="65"/>
    </row>
    <row r="2578" spans="45:46" x14ac:dyDescent="0.25">
      <c r="AS2578" s="65"/>
      <c r="AT2578" s="65"/>
    </row>
    <row r="2579" spans="45:46" x14ac:dyDescent="0.25">
      <c r="AS2579" s="65"/>
      <c r="AT2579" s="65"/>
    </row>
    <row r="2580" spans="45:46" x14ac:dyDescent="0.25">
      <c r="AS2580" s="65"/>
      <c r="AT2580" s="65"/>
    </row>
    <row r="2581" spans="45:46" x14ac:dyDescent="0.25">
      <c r="AS2581" s="65"/>
      <c r="AT2581" s="65"/>
    </row>
    <row r="2582" spans="45:46" x14ac:dyDescent="0.25">
      <c r="AS2582" s="65"/>
      <c r="AT2582" s="65"/>
    </row>
    <row r="2583" spans="45:46" x14ac:dyDescent="0.25">
      <c r="AS2583" s="65"/>
      <c r="AT2583" s="65"/>
    </row>
    <row r="2584" spans="45:46" x14ac:dyDescent="0.25">
      <c r="AS2584" s="65"/>
      <c r="AT2584" s="65"/>
    </row>
    <row r="2585" spans="45:46" x14ac:dyDescent="0.25">
      <c r="AS2585" s="65"/>
      <c r="AT2585" s="65"/>
    </row>
    <row r="2586" spans="45:46" x14ac:dyDescent="0.25">
      <c r="AS2586" s="65"/>
      <c r="AT2586" s="65"/>
    </row>
    <row r="2587" spans="45:46" x14ac:dyDescent="0.25">
      <c r="AS2587" s="65"/>
      <c r="AT2587" s="65"/>
    </row>
    <row r="2588" spans="45:46" x14ac:dyDescent="0.25">
      <c r="AS2588" s="65"/>
      <c r="AT2588" s="65"/>
    </row>
    <row r="2589" spans="45:46" x14ac:dyDescent="0.25">
      <c r="AS2589" s="65"/>
      <c r="AT2589" s="65"/>
    </row>
    <row r="2590" spans="45:46" x14ac:dyDescent="0.25">
      <c r="AS2590" s="65"/>
      <c r="AT2590" s="65"/>
    </row>
    <row r="2591" spans="45:46" x14ac:dyDescent="0.25">
      <c r="AS2591" s="65"/>
      <c r="AT2591" s="65"/>
    </row>
    <row r="2592" spans="45:46" x14ac:dyDescent="0.25">
      <c r="AS2592" s="65"/>
      <c r="AT2592" s="65"/>
    </row>
    <row r="2593" spans="45:46" x14ac:dyDescent="0.25">
      <c r="AS2593" s="65"/>
      <c r="AT2593" s="65"/>
    </row>
    <row r="2594" spans="45:46" x14ac:dyDescent="0.25">
      <c r="AS2594" s="65"/>
      <c r="AT2594" s="65"/>
    </row>
    <row r="2595" spans="45:46" x14ac:dyDescent="0.25">
      <c r="AS2595" s="65"/>
      <c r="AT2595" s="65"/>
    </row>
    <row r="2596" spans="45:46" x14ac:dyDescent="0.25">
      <c r="AS2596" s="65"/>
      <c r="AT2596" s="65"/>
    </row>
    <row r="2597" spans="45:46" x14ac:dyDescent="0.25">
      <c r="AS2597" s="65"/>
      <c r="AT2597" s="65"/>
    </row>
    <row r="2598" spans="45:46" x14ac:dyDescent="0.25">
      <c r="AS2598" s="65"/>
      <c r="AT2598" s="65"/>
    </row>
    <row r="2599" spans="45:46" x14ac:dyDescent="0.25">
      <c r="AS2599" s="65"/>
      <c r="AT2599" s="65"/>
    </row>
    <row r="2600" spans="45:46" x14ac:dyDescent="0.25">
      <c r="AS2600" s="65"/>
      <c r="AT2600" s="65"/>
    </row>
    <row r="2601" spans="45:46" x14ac:dyDescent="0.25">
      <c r="AS2601" s="65"/>
      <c r="AT2601" s="65"/>
    </row>
    <row r="2602" spans="45:46" x14ac:dyDescent="0.25">
      <c r="AS2602" s="65"/>
      <c r="AT2602" s="65"/>
    </row>
    <row r="2603" spans="45:46" x14ac:dyDescent="0.25">
      <c r="AS2603" s="65"/>
      <c r="AT2603" s="65"/>
    </row>
    <row r="2604" spans="45:46" x14ac:dyDescent="0.25">
      <c r="AS2604" s="65"/>
      <c r="AT2604" s="65"/>
    </row>
    <row r="2605" spans="45:46" x14ac:dyDescent="0.25">
      <c r="AS2605" s="65"/>
      <c r="AT2605" s="65"/>
    </row>
    <row r="2606" spans="45:46" x14ac:dyDescent="0.25">
      <c r="AS2606" s="65"/>
      <c r="AT2606" s="65"/>
    </row>
    <row r="2607" spans="45:46" x14ac:dyDescent="0.25">
      <c r="AS2607" s="65"/>
      <c r="AT2607" s="65"/>
    </row>
    <row r="2608" spans="45:46" x14ac:dyDescent="0.25">
      <c r="AS2608" s="65"/>
      <c r="AT2608" s="65"/>
    </row>
    <row r="2609" spans="45:46" x14ac:dyDescent="0.25">
      <c r="AS2609" s="65"/>
      <c r="AT2609" s="65"/>
    </row>
    <row r="2610" spans="45:46" x14ac:dyDescent="0.25">
      <c r="AS2610" s="65"/>
      <c r="AT2610" s="65"/>
    </row>
    <row r="2611" spans="45:46" x14ac:dyDescent="0.25">
      <c r="AS2611" s="65"/>
      <c r="AT2611" s="65"/>
    </row>
    <row r="2612" spans="45:46" x14ac:dyDescent="0.25">
      <c r="AS2612" s="65"/>
      <c r="AT2612" s="65"/>
    </row>
    <row r="2613" spans="45:46" x14ac:dyDescent="0.25">
      <c r="AS2613" s="65"/>
      <c r="AT2613" s="65"/>
    </row>
    <row r="2614" spans="45:46" x14ac:dyDescent="0.25">
      <c r="AS2614" s="65"/>
      <c r="AT2614" s="65"/>
    </row>
    <row r="2615" spans="45:46" x14ac:dyDescent="0.25">
      <c r="AS2615" s="65"/>
      <c r="AT2615" s="65"/>
    </row>
    <row r="2616" spans="45:46" x14ac:dyDescent="0.25">
      <c r="AS2616" s="65"/>
      <c r="AT2616" s="65"/>
    </row>
    <row r="2617" spans="45:46" x14ac:dyDescent="0.25">
      <c r="AS2617" s="65"/>
      <c r="AT2617" s="65"/>
    </row>
    <row r="2618" spans="45:46" x14ac:dyDescent="0.25">
      <c r="AS2618" s="65"/>
      <c r="AT2618" s="65"/>
    </row>
    <row r="2619" spans="45:46" x14ac:dyDescent="0.25">
      <c r="AS2619" s="65"/>
      <c r="AT2619" s="65"/>
    </row>
    <row r="2620" spans="45:46" x14ac:dyDescent="0.25">
      <c r="AS2620" s="65"/>
      <c r="AT2620" s="65"/>
    </row>
    <row r="2621" spans="45:46" x14ac:dyDescent="0.25">
      <c r="AS2621" s="65"/>
      <c r="AT2621" s="65"/>
    </row>
    <row r="2622" spans="45:46" x14ac:dyDescent="0.25">
      <c r="AS2622" s="65"/>
      <c r="AT2622" s="65"/>
    </row>
    <row r="2623" spans="45:46" x14ac:dyDescent="0.25">
      <c r="AS2623" s="65"/>
      <c r="AT2623" s="65"/>
    </row>
    <row r="2624" spans="45:46" x14ac:dyDescent="0.25">
      <c r="AS2624" s="65"/>
      <c r="AT2624" s="65"/>
    </row>
    <row r="2625" spans="45:46" x14ac:dyDescent="0.25">
      <c r="AS2625" s="65"/>
      <c r="AT2625" s="65"/>
    </row>
    <row r="2626" spans="45:46" x14ac:dyDescent="0.25">
      <c r="AS2626" s="65"/>
      <c r="AT2626" s="65"/>
    </row>
    <row r="2627" spans="45:46" x14ac:dyDescent="0.25">
      <c r="AS2627" s="65"/>
      <c r="AT2627" s="65"/>
    </row>
    <row r="2628" spans="45:46" x14ac:dyDescent="0.25">
      <c r="AS2628" s="65"/>
      <c r="AT2628" s="65"/>
    </row>
    <row r="2629" spans="45:46" x14ac:dyDescent="0.25">
      <c r="AS2629" s="65"/>
      <c r="AT2629" s="65"/>
    </row>
    <row r="2630" spans="45:46" x14ac:dyDescent="0.25">
      <c r="AS2630" s="65"/>
      <c r="AT2630" s="65"/>
    </row>
    <row r="2631" spans="45:46" x14ac:dyDescent="0.25">
      <c r="AS2631" s="65"/>
      <c r="AT2631" s="65"/>
    </row>
    <row r="2632" spans="45:46" x14ac:dyDescent="0.25">
      <c r="AS2632" s="65"/>
      <c r="AT2632" s="65"/>
    </row>
    <row r="2633" spans="45:46" x14ac:dyDescent="0.25">
      <c r="AS2633" s="65"/>
      <c r="AT2633" s="65"/>
    </row>
    <row r="2634" spans="45:46" x14ac:dyDescent="0.25">
      <c r="AS2634" s="65"/>
      <c r="AT2634" s="65"/>
    </row>
    <row r="2635" spans="45:46" x14ac:dyDescent="0.25">
      <c r="AS2635" s="65"/>
      <c r="AT2635" s="65"/>
    </row>
    <row r="2636" spans="45:46" x14ac:dyDescent="0.25">
      <c r="AS2636" s="65"/>
      <c r="AT2636" s="65"/>
    </row>
    <row r="2637" spans="45:46" x14ac:dyDescent="0.25">
      <c r="AS2637" s="65"/>
      <c r="AT2637" s="65"/>
    </row>
    <row r="2638" spans="45:46" x14ac:dyDescent="0.25">
      <c r="AS2638" s="65"/>
      <c r="AT2638" s="65"/>
    </row>
    <row r="2639" spans="45:46" x14ac:dyDescent="0.25">
      <c r="AS2639" s="65"/>
      <c r="AT2639" s="65"/>
    </row>
    <row r="2640" spans="45:46" x14ac:dyDescent="0.25">
      <c r="AS2640" s="65"/>
      <c r="AT2640" s="65"/>
    </row>
    <row r="2641" spans="45:46" x14ac:dyDescent="0.25">
      <c r="AS2641" s="65"/>
      <c r="AT2641" s="65"/>
    </row>
    <row r="2642" spans="45:46" x14ac:dyDescent="0.25">
      <c r="AS2642" s="65"/>
      <c r="AT2642" s="65"/>
    </row>
    <row r="2643" spans="45:46" x14ac:dyDescent="0.25">
      <c r="AS2643" s="65"/>
      <c r="AT2643" s="65"/>
    </row>
    <row r="2644" spans="45:46" x14ac:dyDescent="0.25">
      <c r="AS2644" s="65"/>
      <c r="AT2644" s="65"/>
    </row>
    <row r="2645" spans="45:46" x14ac:dyDescent="0.25">
      <c r="AS2645" s="65"/>
      <c r="AT2645" s="65"/>
    </row>
    <row r="2646" spans="45:46" x14ac:dyDescent="0.25">
      <c r="AS2646" s="65"/>
      <c r="AT2646" s="65"/>
    </row>
    <row r="2647" spans="45:46" x14ac:dyDescent="0.25">
      <c r="AS2647" s="65"/>
      <c r="AT2647" s="65"/>
    </row>
    <row r="2648" spans="45:46" x14ac:dyDescent="0.25">
      <c r="AS2648" s="65"/>
      <c r="AT2648" s="65"/>
    </row>
    <row r="2649" spans="45:46" x14ac:dyDescent="0.25">
      <c r="AS2649" s="65"/>
      <c r="AT2649" s="65"/>
    </row>
    <row r="2650" spans="45:46" x14ac:dyDescent="0.25">
      <c r="AS2650" s="65"/>
      <c r="AT2650" s="65"/>
    </row>
    <row r="2651" spans="45:46" x14ac:dyDescent="0.25">
      <c r="AS2651" s="65"/>
      <c r="AT2651" s="65"/>
    </row>
    <row r="2652" spans="45:46" x14ac:dyDescent="0.25">
      <c r="AS2652" s="65"/>
      <c r="AT2652" s="65"/>
    </row>
    <row r="2653" spans="45:46" x14ac:dyDescent="0.25">
      <c r="AS2653" s="65"/>
      <c r="AT2653" s="65"/>
    </row>
    <row r="2654" spans="45:46" x14ac:dyDescent="0.25">
      <c r="AS2654" s="65"/>
      <c r="AT2654" s="65"/>
    </row>
    <row r="2655" spans="45:46" x14ac:dyDescent="0.25">
      <c r="AS2655" s="65"/>
      <c r="AT2655" s="65"/>
    </row>
    <row r="2656" spans="45:46" x14ac:dyDescent="0.25">
      <c r="AS2656" s="65"/>
      <c r="AT2656" s="65"/>
    </row>
    <row r="2657" spans="45:46" x14ac:dyDescent="0.25">
      <c r="AS2657" s="65"/>
      <c r="AT2657" s="65"/>
    </row>
    <row r="2658" spans="45:46" x14ac:dyDescent="0.25">
      <c r="AS2658" s="65"/>
      <c r="AT2658" s="65"/>
    </row>
    <row r="2659" spans="45:46" x14ac:dyDescent="0.25">
      <c r="AS2659" s="65"/>
      <c r="AT2659" s="65"/>
    </row>
    <row r="2660" spans="45:46" x14ac:dyDescent="0.25">
      <c r="AS2660" s="65"/>
      <c r="AT2660" s="65"/>
    </row>
    <row r="2661" spans="45:46" x14ac:dyDescent="0.25">
      <c r="AS2661" s="65"/>
      <c r="AT2661" s="65"/>
    </row>
    <row r="2662" spans="45:46" x14ac:dyDescent="0.25">
      <c r="AS2662" s="65"/>
      <c r="AT2662" s="65"/>
    </row>
    <row r="2663" spans="45:46" x14ac:dyDescent="0.25">
      <c r="AS2663" s="65"/>
      <c r="AT2663" s="65"/>
    </row>
    <row r="2664" spans="45:46" x14ac:dyDescent="0.25">
      <c r="AS2664" s="65"/>
      <c r="AT2664" s="65"/>
    </row>
    <row r="2665" spans="45:46" x14ac:dyDescent="0.25">
      <c r="AS2665" s="65"/>
      <c r="AT2665" s="65"/>
    </row>
    <row r="2666" spans="45:46" x14ac:dyDescent="0.25">
      <c r="AS2666" s="65"/>
      <c r="AT2666" s="65"/>
    </row>
    <row r="2667" spans="45:46" x14ac:dyDescent="0.25">
      <c r="AS2667" s="65"/>
      <c r="AT2667" s="65"/>
    </row>
    <row r="2668" spans="45:46" x14ac:dyDescent="0.25">
      <c r="AS2668" s="65"/>
      <c r="AT2668" s="65"/>
    </row>
    <row r="2669" spans="45:46" x14ac:dyDescent="0.25">
      <c r="AS2669" s="65"/>
      <c r="AT2669" s="65"/>
    </row>
    <row r="2670" spans="45:46" x14ac:dyDescent="0.25">
      <c r="AS2670" s="65"/>
      <c r="AT2670" s="65"/>
    </row>
    <row r="2671" spans="45:46" x14ac:dyDescent="0.25">
      <c r="AS2671" s="65"/>
      <c r="AT2671" s="65"/>
    </row>
    <row r="2672" spans="45:46" x14ac:dyDescent="0.25">
      <c r="AS2672" s="65"/>
      <c r="AT2672" s="65"/>
    </row>
    <row r="2673" spans="45:46" x14ac:dyDescent="0.25">
      <c r="AS2673" s="65"/>
      <c r="AT2673" s="65"/>
    </row>
    <row r="2674" spans="45:46" x14ac:dyDescent="0.25">
      <c r="AS2674" s="65"/>
      <c r="AT2674" s="65"/>
    </row>
    <row r="2675" spans="45:46" x14ac:dyDescent="0.25">
      <c r="AS2675" s="65"/>
      <c r="AT2675" s="65"/>
    </row>
    <row r="2676" spans="45:46" x14ac:dyDescent="0.25">
      <c r="AS2676" s="65"/>
      <c r="AT2676" s="65"/>
    </row>
    <row r="2677" spans="45:46" x14ac:dyDescent="0.25">
      <c r="AS2677" s="65"/>
      <c r="AT2677" s="65"/>
    </row>
    <row r="2678" spans="45:46" x14ac:dyDescent="0.25">
      <c r="AS2678" s="65"/>
      <c r="AT2678" s="65"/>
    </row>
    <row r="2679" spans="45:46" x14ac:dyDescent="0.25">
      <c r="AS2679" s="65"/>
      <c r="AT2679" s="65"/>
    </row>
    <row r="2680" spans="45:46" x14ac:dyDescent="0.25">
      <c r="AS2680" s="65"/>
      <c r="AT2680" s="65"/>
    </row>
    <row r="2681" spans="45:46" x14ac:dyDescent="0.25">
      <c r="AS2681" s="65"/>
      <c r="AT2681" s="65"/>
    </row>
    <row r="2682" spans="45:46" x14ac:dyDescent="0.25">
      <c r="AS2682" s="65"/>
      <c r="AT2682" s="65"/>
    </row>
    <row r="2683" spans="45:46" x14ac:dyDescent="0.25">
      <c r="AS2683" s="65"/>
      <c r="AT2683" s="65"/>
    </row>
    <row r="2684" spans="45:46" x14ac:dyDescent="0.25">
      <c r="AS2684" s="65"/>
      <c r="AT2684" s="65"/>
    </row>
    <row r="2685" spans="45:46" x14ac:dyDescent="0.25">
      <c r="AS2685" s="65"/>
      <c r="AT2685" s="65"/>
    </row>
    <row r="2686" spans="45:46" x14ac:dyDescent="0.25">
      <c r="AS2686" s="65"/>
      <c r="AT2686" s="65"/>
    </row>
    <row r="2687" spans="45:46" x14ac:dyDescent="0.25">
      <c r="AS2687" s="65"/>
      <c r="AT2687" s="65"/>
    </row>
    <row r="2688" spans="45:46" x14ac:dyDescent="0.25">
      <c r="AS2688" s="65"/>
      <c r="AT2688" s="65"/>
    </row>
    <row r="2689" spans="45:46" x14ac:dyDescent="0.25">
      <c r="AS2689" s="65"/>
      <c r="AT2689" s="65"/>
    </row>
    <row r="2690" spans="45:46" x14ac:dyDescent="0.25">
      <c r="AS2690" s="65"/>
      <c r="AT2690" s="65"/>
    </row>
    <row r="2691" spans="45:46" x14ac:dyDescent="0.25">
      <c r="AS2691" s="65"/>
      <c r="AT2691" s="65"/>
    </row>
    <row r="2692" spans="45:46" x14ac:dyDescent="0.25">
      <c r="AS2692" s="65"/>
      <c r="AT2692" s="65"/>
    </row>
    <row r="2693" spans="45:46" x14ac:dyDescent="0.25">
      <c r="AS2693" s="65"/>
      <c r="AT2693" s="65"/>
    </row>
    <row r="2694" spans="45:46" x14ac:dyDescent="0.25">
      <c r="AS2694" s="65"/>
      <c r="AT2694" s="65"/>
    </row>
    <row r="2695" spans="45:46" x14ac:dyDescent="0.25">
      <c r="AS2695" s="65"/>
      <c r="AT2695" s="65"/>
    </row>
    <row r="2696" spans="45:46" x14ac:dyDescent="0.25">
      <c r="AS2696" s="65"/>
      <c r="AT2696" s="65"/>
    </row>
    <row r="2697" spans="45:46" x14ac:dyDescent="0.25">
      <c r="AS2697" s="65"/>
      <c r="AT2697" s="65"/>
    </row>
    <row r="2698" spans="45:46" x14ac:dyDescent="0.25">
      <c r="AS2698" s="65"/>
      <c r="AT2698" s="65"/>
    </row>
    <row r="2699" spans="45:46" x14ac:dyDescent="0.25">
      <c r="AS2699" s="65"/>
      <c r="AT2699" s="65"/>
    </row>
    <row r="2700" spans="45:46" x14ac:dyDescent="0.25">
      <c r="AS2700" s="65"/>
      <c r="AT2700" s="65"/>
    </row>
    <row r="2701" spans="45:46" x14ac:dyDescent="0.25">
      <c r="AS2701" s="65"/>
      <c r="AT2701" s="65"/>
    </row>
    <row r="2702" spans="45:46" x14ac:dyDescent="0.25">
      <c r="AS2702" s="65"/>
      <c r="AT2702" s="65"/>
    </row>
    <row r="2703" spans="45:46" x14ac:dyDescent="0.25">
      <c r="AS2703" s="65"/>
      <c r="AT2703" s="65"/>
    </row>
    <row r="2704" spans="45:46" x14ac:dyDescent="0.25">
      <c r="AS2704" s="65"/>
      <c r="AT2704" s="65"/>
    </row>
    <row r="2705" spans="45:46" x14ac:dyDescent="0.25">
      <c r="AS2705" s="65"/>
      <c r="AT2705" s="65"/>
    </row>
    <row r="2706" spans="45:46" x14ac:dyDescent="0.25">
      <c r="AS2706" s="65"/>
      <c r="AT2706" s="65"/>
    </row>
    <row r="2707" spans="45:46" x14ac:dyDescent="0.25">
      <c r="AS2707" s="65"/>
      <c r="AT2707" s="65"/>
    </row>
    <row r="2708" spans="45:46" x14ac:dyDescent="0.25">
      <c r="AS2708" s="65"/>
      <c r="AT2708" s="65"/>
    </row>
    <row r="2709" spans="45:46" x14ac:dyDescent="0.25">
      <c r="AS2709" s="65"/>
      <c r="AT2709" s="65"/>
    </row>
    <row r="2710" spans="45:46" x14ac:dyDescent="0.25">
      <c r="AS2710" s="65"/>
      <c r="AT2710" s="65"/>
    </row>
    <row r="2711" spans="45:46" x14ac:dyDescent="0.25">
      <c r="AS2711" s="65"/>
      <c r="AT2711" s="65"/>
    </row>
    <row r="2712" spans="45:46" x14ac:dyDescent="0.25">
      <c r="AS2712" s="65"/>
      <c r="AT2712" s="65"/>
    </row>
    <row r="2713" spans="45:46" x14ac:dyDescent="0.25">
      <c r="AS2713" s="65"/>
      <c r="AT2713" s="65"/>
    </row>
    <row r="2714" spans="45:46" x14ac:dyDescent="0.25">
      <c r="AS2714" s="65"/>
      <c r="AT2714" s="65"/>
    </row>
    <row r="2715" spans="45:46" x14ac:dyDescent="0.25">
      <c r="AS2715" s="65"/>
      <c r="AT2715" s="65"/>
    </row>
    <row r="2716" spans="45:46" x14ac:dyDescent="0.25">
      <c r="AS2716" s="65"/>
      <c r="AT2716" s="65"/>
    </row>
    <row r="2717" spans="45:46" x14ac:dyDescent="0.25">
      <c r="AS2717" s="65"/>
      <c r="AT2717" s="65"/>
    </row>
    <row r="2718" spans="45:46" x14ac:dyDescent="0.25">
      <c r="AS2718" s="65"/>
      <c r="AT2718" s="65"/>
    </row>
    <row r="2719" spans="45:46" x14ac:dyDescent="0.25">
      <c r="AS2719" s="65"/>
      <c r="AT2719" s="65"/>
    </row>
    <row r="2720" spans="45:46" x14ac:dyDescent="0.25">
      <c r="AS2720" s="65"/>
      <c r="AT2720" s="65"/>
    </row>
    <row r="2721" spans="45:46" x14ac:dyDescent="0.25">
      <c r="AS2721" s="65"/>
      <c r="AT2721" s="65"/>
    </row>
    <row r="2722" spans="45:46" x14ac:dyDescent="0.25">
      <c r="AS2722" s="65"/>
      <c r="AT2722" s="65"/>
    </row>
    <row r="2723" spans="45:46" x14ac:dyDescent="0.25">
      <c r="AS2723" s="65"/>
      <c r="AT2723" s="65"/>
    </row>
    <row r="2724" spans="45:46" x14ac:dyDescent="0.25">
      <c r="AS2724" s="65"/>
      <c r="AT2724" s="65"/>
    </row>
    <row r="2725" spans="45:46" x14ac:dyDescent="0.25">
      <c r="AS2725" s="65"/>
      <c r="AT2725" s="65"/>
    </row>
    <row r="2726" spans="45:46" x14ac:dyDescent="0.25">
      <c r="AS2726" s="65"/>
      <c r="AT2726" s="65"/>
    </row>
    <row r="2727" spans="45:46" x14ac:dyDescent="0.25">
      <c r="AS2727" s="65"/>
      <c r="AT2727" s="65"/>
    </row>
    <row r="2728" spans="45:46" x14ac:dyDescent="0.25">
      <c r="AS2728" s="65"/>
      <c r="AT2728" s="65"/>
    </row>
    <row r="2729" spans="45:46" x14ac:dyDescent="0.25">
      <c r="AS2729" s="65"/>
      <c r="AT2729" s="65"/>
    </row>
    <row r="2730" spans="45:46" x14ac:dyDescent="0.25">
      <c r="AS2730" s="65"/>
      <c r="AT2730" s="65"/>
    </row>
    <row r="2731" spans="45:46" x14ac:dyDescent="0.25">
      <c r="AS2731" s="65"/>
      <c r="AT2731" s="65"/>
    </row>
    <row r="2732" spans="45:46" x14ac:dyDescent="0.25">
      <c r="AS2732" s="65"/>
      <c r="AT2732" s="65"/>
    </row>
    <row r="2733" spans="45:46" x14ac:dyDescent="0.25">
      <c r="AS2733" s="65"/>
      <c r="AT2733" s="65"/>
    </row>
    <row r="2734" spans="45:46" x14ac:dyDescent="0.25">
      <c r="AS2734" s="65"/>
      <c r="AT2734" s="65"/>
    </row>
    <row r="2735" spans="45:46" x14ac:dyDescent="0.25">
      <c r="AS2735" s="65"/>
      <c r="AT2735" s="65"/>
    </row>
    <row r="2736" spans="45:46" x14ac:dyDescent="0.25">
      <c r="AS2736" s="65"/>
      <c r="AT2736" s="65"/>
    </row>
    <row r="2737" spans="45:46" x14ac:dyDescent="0.25">
      <c r="AS2737" s="65"/>
      <c r="AT2737" s="65"/>
    </row>
    <row r="2738" spans="45:46" x14ac:dyDescent="0.25">
      <c r="AS2738" s="65"/>
      <c r="AT2738" s="65"/>
    </row>
    <row r="2739" spans="45:46" x14ac:dyDescent="0.25">
      <c r="AS2739" s="65"/>
      <c r="AT2739" s="65"/>
    </row>
    <row r="2740" spans="45:46" x14ac:dyDescent="0.25">
      <c r="AS2740" s="65"/>
      <c r="AT2740" s="65"/>
    </row>
    <row r="2741" spans="45:46" x14ac:dyDescent="0.25">
      <c r="AS2741" s="65"/>
      <c r="AT2741" s="65"/>
    </row>
    <row r="2742" spans="45:46" x14ac:dyDescent="0.25">
      <c r="AS2742" s="65"/>
      <c r="AT2742" s="65"/>
    </row>
    <row r="2743" spans="45:46" x14ac:dyDescent="0.25">
      <c r="AS2743" s="65"/>
      <c r="AT2743" s="65"/>
    </row>
    <row r="2744" spans="45:46" x14ac:dyDescent="0.25">
      <c r="AS2744" s="65"/>
      <c r="AT2744" s="65"/>
    </row>
    <row r="2745" spans="45:46" x14ac:dyDescent="0.25">
      <c r="AS2745" s="65"/>
      <c r="AT2745" s="65"/>
    </row>
    <row r="2746" spans="45:46" x14ac:dyDescent="0.25">
      <c r="AS2746" s="65"/>
      <c r="AT2746" s="65"/>
    </row>
    <row r="2747" spans="45:46" x14ac:dyDescent="0.25">
      <c r="AS2747" s="65"/>
      <c r="AT2747" s="65"/>
    </row>
    <row r="2748" spans="45:46" x14ac:dyDescent="0.25">
      <c r="AS2748" s="65"/>
      <c r="AT2748" s="65"/>
    </row>
    <row r="2749" spans="45:46" x14ac:dyDescent="0.25">
      <c r="AS2749" s="65"/>
      <c r="AT2749" s="65"/>
    </row>
    <row r="2750" spans="45:46" x14ac:dyDescent="0.25">
      <c r="AS2750" s="65"/>
      <c r="AT2750" s="65"/>
    </row>
    <row r="2751" spans="45:46" x14ac:dyDescent="0.25">
      <c r="AS2751" s="65"/>
      <c r="AT2751" s="65"/>
    </row>
    <row r="2752" spans="45:46" x14ac:dyDescent="0.25">
      <c r="AS2752" s="65"/>
      <c r="AT2752" s="65"/>
    </row>
    <row r="2753" spans="45:46" x14ac:dyDescent="0.25">
      <c r="AS2753" s="65"/>
      <c r="AT2753" s="65"/>
    </row>
    <row r="2754" spans="45:46" x14ac:dyDescent="0.25">
      <c r="AS2754" s="65"/>
      <c r="AT2754" s="65"/>
    </row>
    <row r="2755" spans="45:46" x14ac:dyDescent="0.25">
      <c r="AS2755" s="65"/>
      <c r="AT2755" s="65"/>
    </row>
    <row r="2756" spans="45:46" x14ac:dyDescent="0.25">
      <c r="AS2756" s="65"/>
      <c r="AT2756" s="65"/>
    </row>
    <row r="2757" spans="45:46" x14ac:dyDescent="0.25">
      <c r="AS2757" s="65"/>
      <c r="AT2757" s="65"/>
    </row>
    <row r="2758" spans="45:46" x14ac:dyDescent="0.25">
      <c r="AS2758" s="65"/>
      <c r="AT2758" s="65"/>
    </row>
    <row r="2759" spans="45:46" x14ac:dyDescent="0.25">
      <c r="AS2759" s="65"/>
      <c r="AT2759" s="65"/>
    </row>
    <row r="2760" spans="45:46" x14ac:dyDescent="0.25">
      <c r="AS2760" s="65"/>
      <c r="AT2760" s="65"/>
    </row>
    <row r="2761" spans="45:46" x14ac:dyDescent="0.25">
      <c r="AS2761" s="65"/>
      <c r="AT2761" s="65"/>
    </row>
    <row r="2762" spans="45:46" x14ac:dyDescent="0.25">
      <c r="AS2762" s="65"/>
      <c r="AT2762" s="65"/>
    </row>
    <row r="2763" spans="45:46" x14ac:dyDescent="0.25">
      <c r="AS2763" s="65"/>
      <c r="AT2763" s="65"/>
    </row>
    <row r="2764" spans="45:46" x14ac:dyDescent="0.25">
      <c r="AS2764" s="65"/>
      <c r="AT2764" s="65"/>
    </row>
    <row r="2765" spans="45:46" x14ac:dyDescent="0.25">
      <c r="AS2765" s="65"/>
      <c r="AT2765" s="65"/>
    </row>
    <row r="2766" spans="45:46" x14ac:dyDescent="0.25">
      <c r="AS2766" s="65"/>
      <c r="AT2766" s="65"/>
    </row>
    <row r="2767" spans="45:46" x14ac:dyDescent="0.25">
      <c r="AS2767" s="65"/>
      <c r="AT2767" s="65"/>
    </row>
    <row r="2768" spans="45:46" x14ac:dyDescent="0.25">
      <c r="AS2768" s="65"/>
      <c r="AT2768" s="65"/>
    </row>
    <row r="2769" spans="45:46" x14ac:dyDescent="0.25">
      <c r="AS2769" s="65"/>
      <c r="AT2769" s="65"/>
    </row>
    <row r="2770" spans="45:46" x14ac:dyDescent="0.25">
      <c r="AS2770" s="65"/>
      <c r="AT2770" s="65"/>
    </row>
    <row r="2771" spans="45:46" x14ac:dyDescent="0.25">
      <c r="AS2771" s="65"/>
      <c r="AT2771" s="65"/>
    </row>
    <row r="2772" spans="45:46" x14ac:dyDescent="0.25">
      <c r="AS2772" s="65"/>
      <c r="AT2772" s="65"/>
    </row>
    <row r="2773" spans="45:46" x14ac:dyDescent="0.25">
      <c r="AS2773" s="65"/>
      <c r="AT2773" s="65"/>
    </row>
    <row r="2774" spans="45:46" x14ac:dyDescent="0.25">
      <c r="AS2774" s="65"/>
      <c r="AT2774" s="65"/>
    </row>
    <row r="2775" spans="45:46" x14ac:dyDescent="0.25">
      <c r="AS2775" s="65"/>
      <c r="AT2775" s="65"/>
    </row>
    <row r="2776" spans="45:46" x14ac:dyDescent="0.25">
      <c r="AS2776" s="65"/>
      <c r="AT2776" s="65"/>
    </row>
    <row r="2777" spans="45:46" x14ac:dyDescent="0.25">
      <c r="AS2777" s="65"/>
      <c r="AT2777" s="65"/>
    </row>
    <row r="2778" spans="45:46" x14ac:dyDescent="0.25">
      <c r="AS2778" s="65"/>
      <c r="AT2778" s="65"/>
    </row>
    <row r="2779" spans="45:46" x14ac:dyDescent="0.25">
      <c r="AS2779" s="65"/>
      <c r="AT2779" s="65"/>
    </row>
    <row r="2780" spans="45:46" x14ac:dyDescent="0.25">
      <c r="AS2780" s="65"/>
      <c r="AT2780" s="65"/>
    </row>
    <row r="2781" spans="45:46" x14ac:dyDescent="0.25">
      <c r="AS2781" s="65"/>
      <c r="AT2781" s="65"/>
    </row>
    <row r="2782" spans="45:46" x14ac:dyDescent="0.25">
      <c r="AS2782" s="65"/>
      <c r="AT2782" s="65"/>
    </row>
    <row r="2783" spans="45:46" x14ac:dyDescent="0.25">
      <c r="AS2783" s="65"/>
      <c r="AT2783" s="65"/>
    </row>
    <row r="2784" spans="45:46" x14ac:dyDescent="0.25">
      <c r="AS2784" s="65"/>
      <c r="AT2784" s="65"/>
    </row>
    <row r="2785" spans="45:46" x14ac:dyDescent="0.25">
      <c r="AS2785" s="65"/>
      <c r="AT2785" s="65"/>
    </row>
    <row r="2786" spans="45:46" x14ac:dyDescent="0.25">
      <c r="AS2786" s="65"/>
      <c r="AT2786" s="65"/>
    </row>
    <row r="2787" spans="45:46" x14ac:dyDescent="0.25">
      <c r="AS2787" s="65"/>
      <c r="AT2787" s="65"/>
    </row>
    <row r="2788" spans="45:46" x14ac:dyDescent="0.25">
      <c r="AS2788" s="65"/>
      <c r="AT2788" s="65"/>
    </row>
    <row r="2789" spans="45:46" x14ac:dyDescent="0.25">
      <c r="AS2789" s="65"/>
      <c r="AT2789" s="65"/>
    </row>
    <row r="2790" spans="45:46" x14ac:dyDescent="0.25">
      <c r="AS2790" s="65"/>
      <c r="AT2790" s="65"/>
    </row>
    <row r="2791" spans="45:46" x14ac:dyDescent="0.25">
      <c r="AS2791" s="65"/>
      <c r="AT2791" s="65"/>
    </row>
    <row r="2792" spans="45:46" x14ac:dyDescent="0.25">
      <c r="AS2792" s="65"/>
      <c r="AT2792" s="65"/>
    </row>
    <row r="2793" spans="45:46" x14ac:dyDescent="0.25">
      <c r="AS2793" s="65"/>
      <c r="AT2793" s="65"/>
    </row>
    <row r="2794" spans="45:46" x14ac:dyDescent="0.25">
      <c r="AS2794" s="65"/>
      <c r="AT2794" s="65"/>
    </row>
    <row r="2795" spans="45:46" x14ac:dyDescent="0.25">
      <c r="AS2795" s="65"/>
      <c r="AT2795" s="65"/>
    </row>
    <row r="2796" spans="45:46" x14ac:dyDescent="0.25">
      <c r="AS2796" s="65"/>
      <c r="AT2796" s="65"/>
    </row>
    <row r="2797" spans="45:46" x14ac:dyDescent="0.25">
      <c r="AS2797" s="65"/>
      <c r="AT2797" s="65"/>
    </row>
    <row r="2798" spans="45:46" x14ac:dyDescent="0.25">
      <c r="AS2798" s="65"/>
      <c r="AT2798" s="65"/>
    </row>
    <row r="2799" spans="45:46" x14ac:dyDescent="0.25">
      <c r="AS2799" s="65"/>
      <c r="AT2799" s="65"/>
    </row>
    <row r="2800" spans="45:46" x14ac:dyDescent="0.25">
      <c r="AS2800" s="65"/>
      <c r="AT2800" s="65"/>
    </row>
    <row r="2801" spans="45:46" x14ac:dyDescent="0.25">
      <c r="AS2801" s="65"/>
      <c r="AT2801" s="65"/>
    </row>
    <row r="2802" spans="45:46" x14ac:dyDescent="0.25">
      <c r="AS2802" s="65"/>
      <c r="AT2802" s="65"/>
    </row>
    <row r="2803" spans="45:46" x14ac:dyDescent="0.25">
      <c r="AS2803" s="65"/>
      <c r="AT2803" s="65"/>
    </row>
    <row r="2804" spans="45:46" x14ac:dyDescent="0.25">
      <c r="AS2804" s="65"/>
      <c r="AT2804" s="65"/>
    </row>
    <row r="2805" spans="45:46" x14ac:dyDescent="0.25">
      <c r="AS2805" s="65"/>
      <c r="AT2805" s="65"/>
    </row>
    <row r="2806" spans="45:46" x14ac:dyDescent="0.25">
      <c r="AS2806" s="65"/>
      <c r="AT2806" s="65"/>
    </row>
    <row r="2807" spans="45:46" x14ac:dyDescent="0.25">
      <c r="AS2807" s="65"/>
      <c r="AT2807" s="65"/>
    </row>
    <row r="2808" spans="45:46" x14ac:dyDescent="0.25">
      <c r="AS2808" s="65"/>
      <c r="AT2808" s="65"/>
    </row>
    <row r="2809" spans="45:46" x14ac:dyDescent="0.25">
      <c r="AS2809" s="65"/>
      <c r="AT2809" s="65"/>
    </row>
    <row r="2810" spans="45:46" x14ac:dyDescent="0.25">
      <c r="AS2810" s="65"/>
      <c r="AT2810" s="65"/>
    </row>
    <row r="2811" spans="45:46" x14ac:dyDescent="0.25">
      <c r="AS2811" s="65"/>
      <c r="AT2811" s="65"/>
    </row>
    <row r="2812" spans="45:46" x14ac:dyDescent="0.25">
      <c r="AS2812" s="65"/>
      <c r="AT2812" s="65"/>
    </row>
    <row r="2813" spans="45:46" x14ac:dyDescent="0.25">
      <c r="AS2813" s="65"/>
      <c r="AT2813" s="65"/>
    </row>
    <row r="2814" spans="45:46" x14ac:dyDescent="0.25">
      <c r="AS2814" s="65"/>
      <c r="AT2814" s="65"/>
    </row>
    <row r="2815" spans="45:46" x14ac:dyDescent="0.25">
      <c r="AS2815" s="65"/>
      <c r="AT2815" s="65"/>
    </row>
    <row r="2816" spans="45:46" x14ac:dyDescent="0.25">
      <c r="AS2816" s="65"/>
      <c r="AT2816" s="65"/>
    </row>
    <row r="2817" spans="45:46" x14ac:dyDescent="0.25">
      <c r="AS2817" s="65"/>
      <c r="AT2817" s="65"/>
    </row>
    <row r="2818" spans="45:46" x14ac:dyDescent="0.25">
      <c r="AS2818" s="65"/>
      <c r="AT2818" s="65"/>
    </row>
    <row r="2819" spans="45:46" x14ac:dyDescent="0.25">
      <c r="AS2819" s="65"/>
      <c r="AT2819" s="65"/>
    </row>
    <row r="2820" spans="45:46" x14ac:dyDescent="0.25">
      <c r="AS2820" s="65"/>
      <c r="AT2820" s="65"/>
    </row>
    <row r="2821" spans="45:46" x14ac:dyDescent="0.25">
      <c r="AS2821" s="65"/>
      <c r="AT2821" s="65"/>
    </row>
    <row r="2822" spans="45:46" x14ac:dyDescent="0.25">
      <c r="AS2822" s="65"/>
      <c r="AT2822" s="65"/>
    </row>
    <row r="2823" spans="45:46" x14ac:dyDescent="0.25">
      <c r="AS2823" s="65"/>
      <c r="AT2823" s="65"/>
    </row>
    <row r="2824" spans="45:46" x14ac:dyDescent="0.25">
      <c r="AS2824" s="65"/>
      <c r="AT2824" s="65"/>
    </row>
    <row r="2825" spans="45:46" x14ac:dyDescent="0.25">
      <c r="AS2825" s="65"/>
      <c r="AT2825" s="65"/>
    </row>
    <row r="2826" spans="45:46" x14ac:dyDescent="0.25">
      <c r="AS2826" s="65"/>
      <c r="AT2826" s="65"/>
    </row>
    <row r="2827" spans="45:46" x14ac:dyDescent="0.25">
      <c r="AS2827" s="65"/>
      <c r="AT2827" s="65"/>
    </row>
    <row r="2828" spans="45:46" x14ac:dyDescent="0.25">
      <c r="AS2828" s="65"/>
      <c r="AT2828" s="65"/>
    </row>
    <row r="2829" spans="45:46" x14ac:dyDescent="0.25">
      <c r="AS2829" s="65"/>
      <c r="AT2829" s="65"/>
    </row>
    <row r="2830" spans="45:46" x14ac:dyDescent="0.25">
      <c r="AS2830" s="65"/>
      <c r="AT2830" s="65"/>
    </row>
    <row r="2831" spans="45:46" x14ac:dyDescent="0.25">
      <c r="AS2831" s="65"/>
      <c r="AT2831" s="65"/>
    </row>
    <row r="2832" spans="45:46" x14ac:dyDescent="0.25">
      <c r="AS2832" s="65"/>
      <c r="AT2832" s="65"/>
    </row>
    <row r="2833" spans="45:46" x14ac:dyDescent="0.25">
      <c r="AS2833" s="65"/>
      <c r="AT2833" s="65"/>
    </row>
    <row r="2834" spans="45:46" x14ac:dyDescent="0.25">
      <c r="AS2834" s="65"/>
      <c r="AT2834" s="65"/>
    </row>
    <row r="2835" spans="45:46" x14ac:dyDescent="0.25">
      <c r="AS2835" s="65"/>
      <c r="AT2835" s="65"/>
    </row>
    <row r="2836" spans="45:46" x14ac:dyDescent="0.25">
      <c r="AS2836" s="65"/>
      <c r="AT2836" s="65"/>
    </row>
    <row r="2837" spans="45:46" x14ac:dyDescent="0.25">
      <c r="AS2837" s="65"/>
      <c r="AT2837" s="65"/>
    </row>
    <row r="2838" spans="45:46" x14ac:dyDescent="0.25">
      <c r="AS2838" s="65"/>
      <c r="AT2838" s="65"/>
    </row>
    <row r="2839" spans="45:46" x14ac:dyDescent="0.25">
      <c r="AS2839" s="65"/>
      <c r="AT2839" s="65"/>
    </row>
    <row r="2840" spans="45:46" x14ac:dyDescent="0.25">
      <c r="AS2840" s="65"/>
      <c r="AT2840" s="65"/>
    </row>
    <row r="2841" spans="45:46" x14ac:dyDescent="0.25">
      <c r="AS2841" s="65"/>
      <c r="AT2841" s="65"/>
    </row>
    <row r="2842" spans="45:46" x14ac:dyDescent="0.25">
      <c r="AS2842" s="65"/>
      <c r="AT2842" s="65"/>
    </row>
    <row r="2843" spans="45:46" x14ac:dyDescent="0.25">
      <c r="AS2843" s="65"/>
      <c r="AT2843" s="65"/>
    </row>
    <row r="2844" spans="45:46" x14ac:dyDescent="0.25">
      <c r="AS2844" s="65"/>
      <c r="AT2844" s="65"/>
    </row>
    <row r="2845" spans="45:46" x14ac:dyDescent="0.25">
      <c r="AS2845" s="65"/>
      <c r="AT2845" s="65"/>
    </row>
    <row r="2846" spans="45:46" x14ac:dyDescent="0.25">
      <c r="AS2846" s="65"/>
      <c r="AT2846" s="65"/>
    </row>
    <row r="2847" spans="45:46" x14ac:dyDescent="0.25">
      <c r="AS2847" s="65"/>
      <c r="AT2847" s="65"/>
    </row>
    <row r="2848" spans="45:46" x14ac:dyDescent="0.25">
      <c r="AS2848" s="65"/>
      <c r="AT2848" s="65"/>
    </row>
    <row r="2849" spans="45:46" x14ac:dyDescent="0.25">
      <c r="AS2849" s="65"/>
      <c r="AT2849" s="65"/>
    </row>
    <row r="2850" spans="45:46" x14ac:dyDescent="0.25">
      <c r="AS2850" s="65"/>
      <c r="AT2850" s="65"/>
    </row>
    <row r="2851" spans="45:46" x14ac:dyDescent="0.25">
      <c r="AS2851" s="65"/>
      <c r="AT2851" s="65"/>
    </row>
    <row r="2852" spans="45:46" x14ac:dyDescent="0.25">
      <c r="AS2852" s="65"/>
      <c r="AT2852" s="65"/>
    </row>
    <row r="2853" spans="45:46" x14ac:dyDescent="0.25">
      <c r="AS2853" s="65"/>
      <c r="AT2853" s="65"/>
    </row>
    <row r="2854" spans="45:46" x14ac:dyDescent="0.25">
      <c r="AS2854" s="65"/>
      <c r="AT2854" s="65"/>
    </row>
    <row r="2855" spans="45:46" x14ac:dyDescent="0.25">
      <c r="AS2855" s="65"/>
      <c r="AT2855" s="65"/>
    </row>
    <row r="2856" spans="45:46" x14ac:dyDescent="0.25">
      <c r="AS2856" s="65"/>
      <c r="AT2856" s="65"/>
    </row>
    <row r="2857" spans="45:46" x14ac:dyDescent="0.25">
      <c r="AS2857" s="65"/>
      <c r="AT2857" s="65"/>
    </row>
    <row r="2858" spans="45:46" x14ac:dyDescent="0.25">
      <c r="AS2858" s="65"/>
      <c r="AT2858" s="65"/>
    </row>
    <row r="2859" spans="45:46" x14ac:dyDescent="0.25">
      <c r="AS2859" s="65"/>
      <c r="AT2859" s="65"/>
    </row>
    <row r="2860" spans="45:46" x14ac:dyDescent="0.25">
      <c r="AS2860" s="65"/>
      <c r="AT2860" s="65"/>
    </row>
    <row r="2861" spans="45:46" x14ac:dyDescent="0.25">
      <c r="AS2861" s="65"/>
      <c r="AT2861" s="65"/>
    </row>
    <row r="2862" spans="45:46" x14ac:dyDescent="0.25">
      <c r="AS2862" s="65"/>
      <c r="AT2862" s="65"/>
    </row>
    <row r="2863" spans="45:46" x14ac:dyDescent="0.25">
      <c r="AS2863" s="65"/>
      <c r="AT2863" s="65"/>
    </row>
    <row r="2864" spans="45:46" x14ac:dyDescent="0.25">
      <c r="AS2864" s="65"/>
      <c r="AT2864" s="65"/>
    </row>
    <row r="2865" spans="45:46" x14ac:dyDescent="0.25">
      <c r="AS2865" s="65"/>
      <c r="AT2865" s="65"/>
    </row>
    <row r="2866" spans="45:46" x14ac:dyDescent="0.25">
      <c r="AS2866" s="65"/>
      <c r="AT2866" s="65"/>
    </row>
    <row r="2867" spans="45:46" x14ac:dyDescent="0.25">
      <c r="AS2867" s="65"/>
      <c r="AT2867" s="65"/>
    </row>
    <row r="2868" spans="45:46" x14ac:dyDescent="0.25">
      <c r="AS2868" s="65"/>
      <c r="AT2868" s="65"/>
    </row>
    <row r="2869" spans="45:46" x14ac:dyDescent="0.25">
      <c r="AS2869" s="65"/>
      <c r="AT2869" s="65"/>
    </row>
    <row r="2870" spans="45:46" x14ac:dyDescent="0.25">
      <c r="AS2870" s="65"/>
      <c r="AT2870" s="65"/>
    </row>
    <row r="2871" spans="45:46" x14ac:dyDescent="0.25">
      <c r="AS2871" s="65"/>
      <c r="AT2871" s="65"/>
    </row>
    <row r="2872" spans="45:46" x14ac:dyDescent="0.25">
      <c r="AS2872" s="65"/>
      <c r="AT2872" s="65"/>
    </row>
    <row r="2873" spans="45:46" x14ac:dyDescent="0.25">
      <c r="AS2873" s="65"/>
      <c r="AT2873" s="65"/>
    </row>
    <row r="2874" spans="45:46" x14ac:dyDescent="0.25">
      <c r="AS2874" s="65"/>
      <c r="AT2874" s="65"/>
    </row>
    <row r="2875" spans="45:46" x14ac:dyDescent="0.25">
      <c r="AS2875" s="65"/>
      <c r="AT2875" s="65"/>
    </row>
    <row r="2876" spans="45:46" x14ac:dyDescent="0.25">
      <c r="AS2876" s="65"/>
      <c r="AT2876" s="65"/>
    </row>
    <row r="2877" spans="45:46" x14ac:dyDescent="0.25">
      <c r="AS2877" s="65"/>
      <c r="AT2877" s="65"/>
    </row>
    <row r="2878" spans="45:46" x14ac:dyDescent="0.25">
      <c r="AS2878" s="65"/>
      <c r="AT2878" s="65"/>
    </row>
    <row r="2879" spans="45:46" x14ac:dyDescent="0.25">
      <c r="AS2879" s="65"/>
      <c r="AT2879" s="65"/>
    </row>
    <row r="2880" spans="45:46" x14ac:dyDescent="0.25">
      <c r="AS2880" s="65"/>
      <c r="AT2880" s="65"/>
    </row>
    <row r="2881" spans="45:46" x14ac:dyDescent="0.25">
      <c r="AS2881" s="65"/>
      <c r="AT2881" s="65"/>
    </row>
    <row r="2882" spans="45:46" x14ac:dyDescent="0.25">
      <c r="AS2882" s="65"/>
      <c r="AT2882" s="65"/>
    </row>
    <row r="2883" spans="45:46" x14ac:dyDescent="0.25">
      <c r="AS2883" s="65"/>
      <c r="AT2883" s="65"/>
    </row>
    <row r="2884" spans="45:46" x14ac:dyDescent="0.25">
      <c r="AS2884" s="65"/>
      <c r="AT2884" s="65"/>
    </row>
    <row r="2885" spans="45:46" x14ac:dyDescent="0.25">
      <c r="AS2885" s="65"/>
      <c r="AT2885" s="65"/>
    </row>
    <row r="2886" spans="45:46" x14ac:dyDescent="0.25">
      <c r="AS2886" s="65"/>
      <c r="AT2886" s="65"/>
    </row>
    <row r="2887" spans="45:46" x14ac:dyDescent="0.25">
      <c r="AS2887" s="65"/>
      <c r="AT2887" s="65"/>
    </row>
    <row r="2888" spans="45:46" x14ac:dyDescent="0.25">
      <c r="AS2888" s="65"/>
      <c r="AT2888" s="65"/>
    </row>
    <row r="2889" spans="45:46" x14ac:dyDescent="0.25">
      <c r="AS2889" s="65"/>
      <c r="AT2889" s="65"/>
    </row>
    <row r="2890" spans="45:46" x14ac:dyDescent="0.25">
      <c r="AS2890" s="65"/>
      <c r="AT2890" s="65"/>
    </row>
    <row r="2891" spans="45:46" x14ac:dyDescent="0.25">
      <c r="AS2891" s="65"/>
      <c r="AT2891" s="65"/>
    </row>
    <row r="2892" spans="45:46" x14ac:dyDescent="0.25">
      <c r="AS2892" s="65"/>
      <c r="AT2892" s="65"/>
    </row>
    <row r="2893" spans="45:46" x14ac:dyDescent="0.25">
      <c r="AS2893" s="65"/>
      <c r="AT2893" s="65"/>
    </row>
    <row r="2894" spans="45:46" x14ac:dyDescent="0.25">
      <c r="AS2894" s="65"/>
      <c r="AT2894" s="65"/>
    </row>
    <row r="2895" spans="45:46" x14ac:dyDescent="0.25">
      <c r="AS2895" s="65"/>
      <c r="AT2895" s="65"/>
    </row>
    <row r="2896" spans="45:46" x14ac:dyDescent="0.25">
      <c r="AS2896" s="65"/>
      <c r="AT2896" s="65"/>
    </row>
    <row r="2897" spans="45:46" x14ac:dyDescent="0.25">
      <c r="AS2897" s="65"/>
      <c r="AT2897" s="65"/>
    </row>
    <row r="2898" spans="45:46" x14ac:dyDescent="0.25">
      <c r="AS2898" s="65"/>
      <c r="AT2898" s="65"/>
    </row>
    <row r="2899" spans="45:46" x14ac:dyDescent="0.25">
      <c r="AS2899" s="65"/>
      <c r="AT2899" s="65"/>
    </row>
    <row r="2900" spans="45:46" x14ac:dyDescent="0.25">
      <c r="AS2900" s="65"/>
      <c r="AT2900" s="65"/>
    </row>
    <row r="2901" spans="45:46" x14ac:dyDescent="0.25">
      <c r="AS2901" s="65"/>
      <c r="AT2901" s="65"/>
    </row>
    <row r="2902" spans="45:46" x14ac:dyDescent="0.25">
      <c r="AS2902" s="65"/>
      <c r="AT2902" s="65"/>
    </row>
    <row r="2903" spans="45:46" x14ac:dyDescent="0.25">
      <c r="AS2903" s="65"/>
      <c r="AT2903" s="65"/>
    </row>
    <row r="2904" spans="45:46" x14ac:dyDescent="0.25">
      <c r="AS2904" s="65"/>
      <c r="AT2904" s="65"/>
    </row>
    <row r="2905" spans="45:46" x14ac:dyDescent="0.25">
      <c r="AS2905" s="65"/>
      <c r="AT2905" s="65"/>
    </row>
    <row r="2906" spans="45:46" x14ac:dyDescent="0.25">
      <c r="AS2906" s="65"/>
      <c r="AT2906" s="65"/>
    </row>
    <row r="2907" spans="45:46" x14ac:dyDescent="0.25">
      <c r="AS2907" s="65"/>
      <c r="AT2907" s="65"/>
    </row>
    <row r="2908" spans="45:46" x14ac:dyDescent="0.25">
      <c r="AS2908" s="65"/>
      <c r="AT2908" s="65"/>
    </row>
    <row r="2909" spans="45:46" x14ac:dyDescent="0.25">
      <c r="AS2909" s="65"/>
      <c r="AT2909" s="65"/>
    </row>
    <row r="2910" spans="45:46" x14ac:dyDescent="0.25">
      <c r="AS2910" s="65"/>
      <c r="AT2910" s="65"/>
    </row>
    <row r="2911" spans="45:46" x14ac:dyDescent="0.25">
      <c r="AS2911" s="65"/>
      <c r="AT2911" s="65"/>
    </row>
    <row r="2912" spans="45:46" x14ac:dyDescent="0.25">
      <c r="AS2912" s="65"/>
      <c r="AT2912" s="65"/>
    </row>
    <row r="2913" spans="45:46" x14ac:dyDescent="0.25">
      <c r="AS2913" s="65"/>
      <c r="AT2913" s="65"/>
    </row>
    <row r="2914" spans="45:46" x14ac:dyDescent="0.25">
      <c r="AS2914" s="65"/>
      <c r="AT2914" s="65"/>
    </row>
    <row r="2915" spans="45:46" x14ac:dyDescent="0.25">
      <c r="AS2915" s="65"/>
      <c r="AT2915" s="65"/>
    </row>
    <row r="2916" spans="45:46" x14ac:dyDescent="0.25">
      <c r="AS2916" s="65"/>
      <c r="AT2916" s="65"/>
    </row>
    <row r="2917" spans="45:46" x14ac:dyDescent="0.25">
      <c r="AS2917" s="65"/>
      <c r="AT2917" s="65"/>
    </row>
    <row r="2918" spans="45:46" x14ac:dyDescent="0.25">
      <c r="AS2918" s="65"/>
      <c r="AT2918" s="65"/>
    </row>
    <row r="2919" spans="45:46" x14ac:dyDescent="0.25">
      <c r="AS2919" s="65"/>
      <c r="AT2919" s="65"/>
    </row>
    <row r="2920" spans="45:46" x14ac:dyDescent="0.25">
      <c r="AS2920" s="65"/>
      <c r="AT2920" s="65"/>
    </row>
    <row r="2921" spans="45:46" x14ac:dyDescent="0.25">
      <c r="AS2921" s="65"/>
      <c r="AT2921" s="65"/>
    </row>
    <row r="2922" spans="45:46" x14ac:dyDescent="0.25">
      <c r="AS2922" s="65"/>
      <c r="AT2922" s="65"/>
    </row>
    <row r="2923" spans="45:46" x14ac:dyDescent="0.25">
      <c r="AS2923" s="65"/>
      <c r="AT2923" s="65"/>
    </row>
    <row r="2924" spans="45:46" x14ac:dyDescent="0.25">
      <c r="AS2924" s="65"/>
      <c r="AT2924" s="65"/>
    </row>
    <row r="2925" spans="45:46" x14ac:dyDescent="0.25">
      <c r="AS2925" s="65"/>
      <c r="AT2925" s="65"/>
    </row>
    <row r="2926" spans="45:46" x14ac:dyDescent="0.25">
      <c r="AS2926" s="65"/>
      <c r="AT2926" s="65"/>
    </row>
    <row r="2927" spans="45:46" x14ac:dyDescent="0.25">
      <c r="AS2927" s="65"/>
      <c r="AT2927" s="65"/>
    </row>
    <row r="2928" spans="45:46" x14ac:dyDescent="0.25">
      <c r="AS2928" s="65"/>
      <c r="AT2928" s="65"/>
    </row>
    <row r="2929" spans="45:46" x14ac:dyDescent="0.25">
      <c r="AS2929" s="65"/>
      <c r="AT2929" s="65"/>
    </row>
    <row r="2930" spans="45:46" x14ac:dyDescent="0.25">
      <c r="AS2930" s="65"/>
      <c r="AT2930" s="65"/>
    </row>
    <row r="2931" spans="45:46" x14ac:dyDescent="0.25">
      <c r="AS2931" s="65"/>
      <c r="AT2931" s="65"/>
    </row>
    <row r="2932" spans="45:46" x14ac:dyDescent="0.25">
      <c r="AS2932" s="65"/>
      <c r="AT2932" s="65"/>
    </row>
    <row r="2933" spans="45:46" x14ac:dyDescent="0.25">
      <c r="AS2933" s="65"/>
      <c r="AT2933" s="65"/>
    </row>
    <row r="2934" spans="45:46" x14ac:dyDescent="0.25">
      <c r="AS2934" s="65"/>
      <c r="AT2934" s="65"/>
    </row>
    <row r="2935" spans="45:46" x14ac:dyDescent="0.25">
      <c r="AS2935" s="65"/>
      <c r="AT2935" s="65"/>
    </row>
    <row r="2936" spans="45:46" x14ac:dyDescent="0.25">
      <c r="AS2936" s="65"/>
      <c r="AT2936" s="65"/>
    </row>
    <row r="2937" spans="45:46" x14ac:dyDescent="0.25">
      <c r="AS2937" s="65"/>
      <c r="AT2937" s="65"/>
    </row>
    <row r="2938" spans="45:46" x14ac:dyDescent="0.25">
      <c r="AS2938" s="65"/>
      <c r="AT2938" s="65"/>
    </row>
    <row r="2939" spans="45:46" x14ac:dyDescent="0.25">
      <c r="AS2939" s="65"/>
      <c r="AT2939" s="65"/>
    </row>
    <row r="2940" spans="45:46" x14ac:dyDescent="0.25">
      <c r="AS2940" s="65"/>
      <c r="AT2940" s="65"/>
    </row>
    <row r="2941" spans="45:46" x14ac:dyDescent="0.25">
      <c r="AS2941" s="65"/>
      <c r="AT2941" s="65"/>
    </row>
    <row r="2942" spans="45:46" x14ac:dyDescent="0.25">
      <c r="AS2942" s="65"/>
      <c r="AT2942" s="65"/>
    </row>
    <row r="2943" spans="45:46" x14ac:dyDescent="0.25">
      <c r="AS2943" s="65"/>
      <c r="AT2943" s="65"/>
    </row>
    <row r="2944" spans="45:46" x14ac:dyDescent="0.25">
      <c r="AS2944" s="65"/>
      <c r="AT2944" s="65"/>
    </row>
    <row r="2945" spans="45:46" x14ac:dyDescent="0.25">
      <c r="AS2945" s="65"/>
      <c r="AT2945" s="65"/>
    </row>
    <row r="2946" spans="45:46" x14ac:dyDescent="0.25">
      <c r="AS2946" s="65"/>
      <c r="AT2946" s="65"/>
    </row>
    <row r="2947" spans="45:46" x14ac:dyDescent="0.25">
      <c r="AS2947" s="65"/>
      <c r="AT2947" s="65"/>
    </row>
    <row r="2948" spans="45:46" x14ac:dyDescent="0.25">
      <c r="AS2948" s="65"/>
      <c r="AT2948" s="65"/>
    </row>
    <row r="2949" spans="45:46" x14ac:dyDescent="0.25">
      <c r="AS2949" s="65"/>
      <c r="AT2949" s="65"/>
    </row>
    <row r="2950" spans="45:46" x14ac:dyDescent="0.25">
      <c r="AS2950" s="65"/>
      <c r="AT2950" s="65"/>
    </row>
    <row r="2951" spans="45:46" x14ac:dyDescent="0.25">
      <c r="AS2951" s="65"/>
      <c r="AT2951" s="65"/>
    </row>
    <row r="2952" spans="45:46" x14ac:dyDescent="0.25">
      <c r="AS2952" s="65"/>
      <c r="AT2952" s="65"/>
    </row>
    <row r="2953" spans="45:46" x14ac:dyDescent="0.25">
      <c r="AS2953" s="65"/>
      <c r="AT2953" s="65"/>
    </row>
    <row r="2954" spans="45:46" x14ac:dyDescent="0.25">
      <c r="AS2954" s="65"/>
      <c r="AT2954" s="65"/>
    </row>
    <row r="2955" spans="45:46" x14ac:dyDescent="0.25">
      <c r="AS2955" s="65"/>
      <c r="AT2955" s="65"/>
    </row>
    <row r="2956" spans="45:46" x14ac:dyDescent="0.25">
      <c r="AS2956" s="65"/>
      <c r="AT2956" s="65"/>
    </row>
    <row r="2957" spans="45:46" x14ac:dyDescent="0.25">
      <c r="AS2957" s="65"/>
      <c r="AT2957" s="65"/>
    </row>
    <row r="2958" spans="45:46" x14ac:dyDescent="0.25">
      <c r="AS2958" s="65"/>
      <c r="AT2958" s="65"/>
    </row>
    <row r="2959" spans="45:46" x14ac:dyDescent="0.25">
      <c r="AS2959" s="65"/>
      <c r="AT2959" s="65"/>
    </row>
    <row r="2960" spans="45:46" x14ac:dyDescent="0.25">
      <c r="AS2960" s="65"/>
      <c r="AT2960" s="65"/>
    </row>
    <row r="2961" spans="45:46" x14ac:dyDescent="0.25">
      <c r="AS2961" s="65"/>
      <c r="AT2961" s="65"/>
    </row>
    <row r="2962" spans="45:46" x14ac:dyDescent="0.25">
      <c r="AS2962" s="65"/>
      <c r="AT2962" s="65"/>
    </row>
    <row r="2963" spans="45:46" x14ac:dyDescent="0.25">
      <c r="AS2963" s="65"/>
      <c r="AT2963" s="65"/>
    </row>
    <row r="2964" spans="45:46" x14ac:dyDescent="0.25">
      <c r="AS2964" s="65"/>
      <c r="AT2964" s="65"/>
    </row>
    <row r="2965" spans="45:46" x14ac:dyDescent="0.25">
      <c r="AS2965" s="65"/>
      <c r="AT2965" s="65"/>
    </row>
    <row r="2966" spans="45:46" x14ac:dyDescent="0.25">
      <c r="AS2966" s="65"/>
      <c r="AT2966" s="65"/>
    </row>
    <row r="2967" spans="45:46" x14ac:dyDescent="0.25">
      <c r="AS2967" s="65"/>
      <c r="AT2967" s="65"/>
    </row>
    <row r="2968" spans="45:46" x14ac:dyDescent="0.25">
      <c r="AS2968" s="65"/>
      <c r="AT2968" s="65"/>
    </row>
    <row r="2969" spans="45:46" x14ac:dyDescent="0.25">
      <c r="AS2969" s="65"/>
      <c r="AT2969" s="65"/>
    </row>
    <row r="2970" spans="45:46" x14ac:dyDescent="0.25">
      <c r="AS2970" s="65"/>
      <c r="AT2970" s="65"/>
    </row>
    <row r="2971" spans="45:46" x14ac:dyDescent="0.25">
      <c r="AS2971" s="65"/>
      <c r="AT2971" s="65"/>
    </row>
    <row r="2972" spans="45:46" x14ac:dyDescent="0.25">
      <c r="AS2972" s="65"/>
      <c r="AT2972" s="65"/>
    </row>
    <row r="2973" spans="45:46" x14ac:dyDescent="0.25">
      <c r="AS2973" s="65"/>
      <c r="AT2973" s="65"/>
    </row>
    <row r="2974" spans="45:46" x14ac:dyDescent="0.25">
      <c r="AS2974" s="65"/>
      <c r="AT2974" s="65"/>
    </row>
    <row r="2975" spans="45:46" x14ac:dyDescent="0.25">
      <c r="AS2975" s="65"/>
      <c r="AT2975" s="65"/>
    </row>
    <row r="2976" spans="45:46" x14ac:dyDescent="0.25">
      <c r="AS2976" s="65"/>
      <c r="AT2976" s="65"/>
    </row>
    <row r="2977" spans="45:46" x14ac:dyDescent="0.25">
      <c r="AS2977" s="65"/>
      <c r="AT2977" s="65"/>
    </row>
    <row r="2978" spans="45:46" x14ac:dyDescent="0.25">
      <c r="AS2978" s="65"/>
      <c r="AT2978" s="65"/>
    </row>
    <row r="2979" spans="45:46" x14ac:dyDescent="0.25">
      <c r="AS2979" s="65"/>
      <c r="AT2979" s="65"/>
    </row>
    <row r="2980" spans="45:46" x14ac:dyDescent="0.25">
      <c r="AS2980" s="65"/>
      <c r="AT2980" s="65"/>
    </row>
    <row r="2981" spans="45:46" x14ac:dyDescent="0.25">
      <c r="AS2981" s="65"/>
      <c r="AT2981" s="65"/>
    </row>
    <row r="2982" spans="45:46" x14ac:dyDescent="0.25">
      <c r="AS2982" s="65"/>
      <c r="AT2982" s="65"/>
    </row>
    <row r="2983" spans="45:46" x14ac:dyDescent="0.25">
      <c r="AS2983" s="65"/>
      <c r="AT2983" s="65"/>
    </row>
    <row r="2984" spans="45:46" x14ac:dyDescent="0.25">
      <c r="AS2984" s="65"/>
      <c r="AT2984" s="65"/>
    </row>
    <row r="2985" spans="45:46" x14ac:dyDescent="0.25">
      <c r="AS2985" s="65"/>
      <c r="AT2985" s="65"/>
    </row>
    <row r="2986" spans="45:46" x14ac:dyDescent="0.25">
      <c r="AS2986" s="65"/>
      <c r="AT2986" s="65"/>
    </row>
    <row r="2987" spans="45:46" x14ac:dyDescent="0.25">
      <c r="AS2987" s="65"/>
      <c r="AT2987" s="65"/>
    </row>
    <row r="2988" spans="45:46" x14ac:dyDescent="0.25">
      <c r="AS2988" s="65"/>
      <c r="AT2988" s="65"/>
    </row>
    <row r="2989" spans="45:46" x14ac:dyDescent="0.25">
      <c r="AS2989" s="65"/>
      <c r="AT2989" s="65"/>
    </row>
    <row r="2990" spans="45:46" x14ac:dyDescent="0.25">
      <c r="AS2990" s="65"/>
      <c r="AT2990" s="65"/>
    </row>
    <row r="2991" spans="45:46" x14ac:dyDescent="0.25">
      <c r="AS2991" s="65"/>
      <c r="AT2991" s="65"/>
    </row>
    <row r="2992" spans="45:46" x14ac:dyDescent="0.25">
      <c r="AS2992" s="65"/>
      <c r="AT2992" s="65"/>
    </row>
    <row r="2993" spans="45:46" x14ac:dyDescent="0.25">
      <c r="AS2993" s="65"/>
      <c r="AT2993" s="65"/>
    </row>
    <row r="2994" spans="45:46" x14ac:dyDescent="0.25">
      <c r="AS2994" s="65"/>
      <c r="AT2994" s="65"/>
    </row>
    <row r="2995" spans="45:46" x14ac:dyDescent="0.25">
      <c r="AS2995" s="65"/>
      <c r="AT2995" s="65"/>
    </row>
    <row r="2996" spans="45:46" x14ac:dyDescent="0.25">
      <c r="AS2996" s="65"/>
      <c r="AT2996" s="65"/>
    </row>
    <row r="2997" spans="45:46" x14ac:dyDescent="0.25">
      <c r="AS2997" s="65"/>
      <c r="AT2997" s="65"/>
    </row>
    <row r="2998" spans="45:46" x14ac:dyDescent="0.25">
      <c r="AS2998" s="65"/>
      <c r="AT2998" s="65"/>
    </row>
    <row r="2999" spans="45:46" x14ac:dyDescent="0.25">
      <c r="AS2999" s="65"/>
      <c r="AT2999" s="65"/>
    </row>
    <row r="3000" spans="45:46" x14ac:dyDescent="0.25">
      <c r="AS3000" s="65"/>
      <c r="AT3000" s="65"/>
    </row>
    <row r="3001" spans="45:46" x14ac:dyDescent="0.25">
      <c r="AS3001" s="65"/>
      <c r="AT3001" s="65"/>
    </row>
    <row r="3002" spans="45:46" x14ac:dyDescent="0.25">
      <c r="AS3002" s="65"/>
      <c r="AT3002" s="65"/>
    </row>
    <row r="3003" spans="45:46" x14ac:dyDescent="0.25">
      <c r="AS3003" s="65"/>
      <c r="AT3003" s="65"/>
    </row>
    <row r="3004" spans="45:46" x14ac:dyDescent="0.25">
      <c r="AS3004" s="65"/>
      <c r="AT3004" s="65"/>
    </row>
    <row r="3005" spans="45:46" x14ac:dyDescent="0.25">
      <c r="AS3005" s="65"/>
      <c r="AT3005" s="65"/>
    </row>
    <row r="3006" spans="45:46" x14ac:dyDescent="0.25">
      <c r="AS3006" s="65"/>
      <c r="AT3006" s="65"/>
    </row>
    <row r="3007" spans="45:46" x14ac:dyDescent="0.25">
      <c r="AS3007" s="65"/>
      <c r="AT3007" s="65"/>
    </row>
    <row r="3008" spans="45:46" x14ac:dyDescent="0.25">
      <c r="AS3008" s="65"/>
      <c r="AT3008" s="65"/>
    </row>
    <row r="3009" spans="45:46" x14ac:dyDescent="0.25">
      <c r="AS3009" s="65"/>
      <c r="AT3009" s="65"/>
    </row>
    <row r="3010" spans="45:46" x14ac:dyDescent="0.25">
      <c r="AS3010" s="65"/>
      <c r="AT3010" s="65"/>
    </row>
    <row r="3011" spans="45:46" x14ac:dyDescent="0.25">
      <c r="AS3011" s="65"/>
      <c r="AT3011" s="65"/>
    </row>
    <row r="3012" spans="45:46" x14ac:dyDescent="0.25">
      <c r="AS3012" s="65"/>
      <c r="AT3012" s="65"/>
    </row>
    <row r="3013" spans="45:46" x14ac:dyDescent="0.25">
      <c r="AS3013" s="65"/>
      <c r="AT3013" s="65"/>
    </row>
    <row r="3014" spans="45:46" x14ac:dyDescent="0.25">
      <c r="AS3014" s="65"/>
      <c r="AT3014" s="65"/>
    </row>
    <row r="3015" spans="45:46" x14ac:dyDescent="0.25">
      <c r="AS3015" s="65"/>
      <c r="AT3015" s="65"/>
    </row>
    <row r="3016" spans="45:46" x14ac:dyDescent="0.25">
      <c r="AS3016" s="65"/>
      <c r="AT3016" s="65"/>
    </row>
    <row r="3017" spans="45:46" x14ac:dyDescent="0.25">
      <c r="AS3017" s="65"/>
      <c r="AT3017" s="65"/>
    </row>
    <row r="3018" spans="45:46" x14ac:dyDescent="0.25">
      <c r="AS3018" s="65"/>
      <c r="AT3018" s="65"/>
    </row>
    <row r="3019" spans="45:46" x14ac:dyDescent="0.25">
      <c r="AS3019" s="65"/>
      <c r="AT3019" s="65"/>
    </row>
    <row r="3020" spans="45:46" x14ac:dyDescent="0.25">
      <c r="AS3020" s="65"/>
      <c r="AT3020" s="65"/>
    </row>
    <row r="3021" spans="45:46" x14ac:dyDescent="0.25">
      <c r="AS3021" s="65"/>
      <c r="AT3021" s="65"/>
    </row>
    <row r="3022" spans="45:46" x14ac:dyDescent="0.25">
      <c r="AS3022" s="65"/>
      <c r="AT3022" s="65"/>
    </row>
    <row r="3023" spans="45:46" x14ac:dyDescent="0.25">
      <c r="AS3023" s="65"/>
      <c r="AT3023" s="65"/>
    </row>
    <row r="3024" spans="45:46" x14ac:dyDescent="0.25">
      <c r="AS3024" s="65"/>
      <c r="AT3024" s="65"/>
    </row>
    <row r="3025" spans="45:46" x14ac:dyDescent="0.25">
      <c r="AS3025" s="65"/>
      <c r="AT3025" s="65"/>
    </row>
    <row r="3026" spans="45:46" x14ac:dyDescent="0.25">
      <c r="AS3026" s="65"/>
      <c r="AT3026" s="65"/>
    </row>
    <row r="3027" spans="45:46" x14ac:dyDescent="0.25">
      <c r="AS3027" s="65"/>
      <c r="AT3027" s="65"/>
    </row>
    <row r="3028" spans="45:46" x14ac:dyDescent="0.25">
      <c r="AS3028" s="65"/>
      <c r="AT3028" s="65"/>
    </row>
    <row r="3029" spans="45:46" x14ac:dyDescent="0.25">
      <c r="AS3029" s="65"/>
      <c r="AT3029" s="65"/>
    </row>
    <row r="3030" spans="45:46" x14ac:dyDescent="0.25">
      <c r="AS3030" s="65"/>
      <c r="AT3030" s="65"/>
    </row>
    <row r="3031" spans="45:46" x14ac:dyDescent="0.25">
      <c r="AS3031" s="65"/>
      <c r="AT3031" s="65"/>
    </row>
    <row r="3032" spans="45:46" x14ac:dyDescent="0.25">
      <c r="AS3032" s="65"/>
      <c r="AT3032" s="65"/>
    </row>
    <row r="3033" spans="45:46" x14ac:dyDescent="0.25">
      <c r="AS3033" s="65"/>
      <c r="AT3033" s="65"/>
    </row>
    <row r="3034" spans="45:46" x14ac:dyDescent="0.25">
      <c r="AS3034" s="65"/>
      <c r="AT3034" s="65"/>
    </row>
    <row r="3035" spans="45:46" x14ac:dyDescent="0.25">
      <c r="AS3035" s="65"/>
      <c r="AT3035" s="65"/>
    </row>
    <row r="3036" spans="45:46" x14ac:dyDescent="0.25">
      <c r="AS3036" s="65"/>
      <c r="AT3036" s="65"/>
    </row>
    <row r="3037" spans="45:46" x14ac:dyDescent="0.25">
      <c r="AS3037" s="65"/>
      <c r="AT3037" s="65"/>
    </row>
    <row r="3038" spans="45:46" x14ac:dyDescent="0.25">
      <c r="AS3038" s="65"/>
      <c r="AT3038" s="65"/>
    </row>
    <row r="3039" spans="45:46" x14ac:dyDescent="0.25">
      <c r="AS3039" s="65"/>
      <c r="AT3039" s="65"/>
    </row>
    <row r="3040" spans="45:46" x14ac:dyDescent="0.25">
      <c r="AS3040" s="65"/>
      <c r="AT3040" s="65"/>
    </row>
    <row r="3041" spans="45:46" x14ac:dyDescent="0.25">
      <c r="AS3041" s="65"/>
      <c r="AT3041" s="65"/>
    </row>
    <row r="3042" spans="45:46" x14ac:dyDescent="0.25">
      <c r="AS3042" s="65"/>
      <c r="AT3042" s="65"/>
    </row>
    <row r="3043" spans="45:46" x14ac:dyDescent="0.25">
      <c r="AS3043" s="65"/>
      <c r="AT3043" s="65"/>
    </row>
    <row r="3044" spans="45:46" x14ac:dyDescent="0.25">
      <c r="AS3044" s="65"/>
      <c r="AT3044" s="65"/>
    </row>
    <row r="3045" spans="45:46" x14ac:dyDescent="0.25">
      <c r="AS3045" s="65"/>
      <c r="AT3045" s="65"/>
    </row>
    <row r="3046" spans="45:46" x14ac:dyDescent="0.25">
      <c r="AS3046" s="65"/>
      <c r="AT3046" s="65"/>
    </row>
    <row r="3047" spans="45:46" x14ac:dyDescent="0.25">
      <c r="AS3047" s="65"/>
      <c r="AT3047" s="65"/>
    </row>
    <row r="3048" spans="45:46" x14ac:dyDescent="0.25">
      <c r="AS3048" s="65"/>
      <c r="AT3048" s="65"/>
    </row>
    <row r="3049" spans="45:46" x14ac:dyDescent="0.25">
      <c r="AS3049" s="65"/>
      <c r="AT3049" s="65"/>
    </row>
    <row r="3050" spans="45:46" x14ac:dyDescent="0.25">
      <c r="AS3050" s="65"/>
      <c r="AT3050" s="65"/>
    </row>
    <row r="3051" spans="45:46" x14ac:dyDescent="0.25">
      <c r="AS3051" s="65"/>
      <c r="AT3051" s="65"/>
    </row>
    <row r="3052" spans="45:46" x14ac:dyDescent="0.25">
      <c r="AS3052" s="65"/>
      <c r="AT3052" s="65"/>
    </row>
    <row r="3053" spans="45:46" x14ac:dyDescent="0.25">
      <c r="AS3053" s="65"/>
      <c r="AT3053" s="65"/>
    </row>
    <row r="3054" spans="45:46" x14ac:dyDescent="0.25">
      <c r="AS3054" s="65"/>
      <c r="AT3054" s="65"/>
    </row>
    <row r="3055" spans="45:46" x14ac:dyDescent="0.25">
      <c r="AS3055" s="65"/>
      <c r="AT3055" s="65"/>
    </row>
    <row r="3056" spans="45:46" x14ac:dyDescent="0.25">
      <c r="AS3056" s="65"/>
      <c r="AT3056" s="65"/>
    </row>
    <row r="3057" spans="45:46" x14ac:dyDescent="0.25">
      <c r="AS3057" s="65"/>
      <c r="AT3057" s="65"/>
    </row>
    <row r="3058" spans="45:46" x14ac:dyDescent="0.25">
      <c r="AS3058" s="65"/>
      <c r="AT3058" s="65"/>
    </row>
    <row r="3059" spans="45:46" x14ac:dyDescent="0.25">
      <c r="AS3059" s="65"/>
      <c r="AT3059" s="65"/>
    </row>
    <row r="3060" spans="45:46" x14ac:dyDescent="0.25">
      <c r="AS3060" s="65"/>
      <c r="AT3060" s="65"/>
    </row>
    <row r="3061" spans="45:46" x14ac:dyDescent="0.25">
      <c r="AS3061" s="65"/>
      <c r="AT3061" s="65"/>
    </row>
    <row r="3062" spans="45:46" x14ac:dyDescent="0.25">
      <c r="AS3062" s="65"/>
      <c r="AT3062" s="65"/>
    </row>
    <row r="3063" spans="45:46" x14ac:dyDescent="0.25">
      <c r="AS3063" s="65"/>
      <c r="AT3063" s="65"/>
    </row>
    <row r="3064" spans="45:46" x14ac:dyDescent="0.25">
      <c r="AS3064" s="65"/>
      <c r="AT3064" s="65"/>
    </row>
    <row r="3065" spans="45:46" x14ac:dyDescent="0.25">
      <c r="AS3065" s="65"/>
      <c r="AT3065" s="65"/>
    </row>
    <row r="3066" spans="45:46" x14ac:dyDescent="0.25">
      <c r="AS3066" s="65"/>
      <c r="AT3066" s="65"/>
    </row>
    <row r="3067" spans="45:46" x14ac:dyDescent="0.25">
      <c r="AS3067" s="65"/>
      <c r="AT3067" s="65"/>
    </row>
    <row r="3068" spans="45:46" x14ac:dyDescent="0.25">
      <c r="AS3068" s="65"/>
      <c r="AT3068" s="65"/>
    </row>
    <row r="3069" spans="45:46" x14ac:dyDescent="0.25">
      <c r="AS3069" s="65"/>
      <c r="AT3069" s="65"/>
    </row>
    <row r="3070" spans="45:46" x14ac:dyDescent="0.25">
      <c r="AS3070" s="65"/>
      <c r="AT3070" s="65"/>
    </row>
    <row r="3071" spans="45:46" x14ac:dyDescent="0.25">
      <c r="AS3071" s="65"/>
      <c r="AT3071" s="65"/>
    </row>
    <row r="3072" spans="45:46" x14ac:dyDescent="0.25">
      <c r="AS3072" s="65"/>
      <c r="AT3072" s="65"/>
    </row>
    <row r="3073" spans="45:46" x14ac:dyDescent="0.25">
      <c r="AS3073" s="65"/>
      <c r="AT3073" s="65"/>
    </row>
    <row r="3074" spans="45:46" x14ac:dyDescent="0.25">
      <c r="AS3074" s="65"/>
      <c r="AT3074" s="65"/>
    </row>
    <row r="3075" spans="45:46" x14ac:dyDescent="0.25">
      <c r="AS3075" s="65"/>
      <c r="AT3075" s="65"/>
    </row>
    <row r="3076" spans="45:46" x14ac:dyDescent="0.25">
      <c r="AS3076" s="65"/>
      <c r="AT3076" s="65"/>
    </row>
    <row r="3077" spans="45:46" x14ac:dyDescent="0.25">
      <c r="AS3077" s="65"/>
      <c r="AT3077" s="65"/>
    </row>
    <row r="3078" spans="45:46" x14ac:dyDescent="0.25">
      <c r="AS3078" s="65"/>
      <c r="AT3078" s="65"/>
    </row>
    <row r="3079" spans="45:46" x14ac:dyDescent="0.25">
      <c r="AS3079" s="65"/>
      <c r="AT3079" s="65"/>
    </row>
    <row r="3080" spans="45:46" x14ac:dyDescent="0.25">
      <c r="AS3080" s="65"/>
      <c r="AT3080" s="65"/>
    </row>
    <row r="3081" spans="45:46" x14ac:dyDescent="0.25">
      <c r="AS3081" s="65"/>
      <c r="AT3081" s="65"/>
    </row>
    <row r="3082" spans="45:46" x14ac:dyDescent="0.25">
      <c r="AS3082" s="65"/>
      <c r="AT3082" s="65"/>
    </row>
    <row r="3083" spans="45:46" x14ac:dyDescent="0.25">
      <c r="AS3083" s="65"/>
      <c r="AT3083" s="65"/>
    </row>
    <row r="3084" spans="45:46" x14ac:dyDescent="0.25">
      <c r="AS3084" s="65"/>
      <c r="AT3084" s="65"/>
    </row>
    <row r="3085" spans="45:46" x14ac:dyDescent="0.25">
      <c r="AS3085" s="65"/>
      <c r="AT3085" s="65"/>
    </row>
    <row r="3086" spans="45:46" x14ac:dyDescent="0.25">
      <c r="AS3086" s="65"/>
      <c r="AT3086" s="65"/>
    </row>
    <row r="3087" spans="45:46" x14ac:dyDescent="0.25">
      <c r="AS3087" s="65"/>
      <c r="AT3087" s="65"/>
    </row>
    <row r="3088" spans="45:46" x14ac:dyDescent="0.25">
      <c r="AS3088" s="65"/>
      <c r="AT3088" s="65"/>
    </row>
    <row r="3089" spans="45:46" x14ac:dyDescent="0.25">
      <c r="AS3089" s="65"/>
      <c r="AT3089" s="65"/>
    </row>
    <row r="3090" spans="45:46" x14ac:dyDescent="0.25">
      <c r="AS3090" s="65"/>
      <c r="AT3090" s="65"/>
    </row>
    <row r="3091" spans="45:46" x14ac:dyDescent="0.25">
      <c r="AS3091" s="65"/>
      <c r="AT3091" s="65"/>
    </row>
    <row r="3092" spans="45:46" x14ac:dyDescent="0.25">
      <c r="AS3092" s="65"/>
      <c r="AT3092" s="65"/>
    </row>
    <row r="3093" spans="45:46" x14ac:dyDescent="0.25">
      <c r="AS3093" s="65"/>
      <c r="AT3093" s="65"/>
    </row>
    <row r="3094" spans="45:46" x14ac:dyDescent="0.25">
      <c r="AS3094" s="65"/>
      <c r="AT3094" s="65"/>
    </row>
    <row r="3095" spans="45:46" x14ac:dyDescent="0.25">
      <c r="AS3095" s="65"/>
      <c r="AT3095" s="65"/>
    </row>
    <row r="3096" spans="45:46" x14ac:dyDescent="0.25">
      <c r="AS3096" s="65"/>
      <c r="AT3096" s="65"/>
    </row>
    <row r="3097" spans="45:46" x14ac:dyDescent="0.25">
      <c r="AS3097" s="65"/>
      <c r="AT3097" s="65"/>
    </row>
    <row r="3098" spans="45:46" x14ac:dyDescent="0.25">
      <c r="AS3098" s="65"/>
      <c r="AT3098" s="65"/>
    </row>
    <row r="3099" spans="45:46" x14ac:dyDescent="0.25">
      <c r="AS3099" s="65"/>
      <c r="AT3099" s="65"/>
    </row>
    <row r="3100" spans="45:46" x14ac:dyDescent="0.25">
      <c r="AS3100" s="65"/>
      <c r="AT3100" s="65"/>
    </row>
    <row r="3101" spans="45:46" x14ac:dyDescent="0.25">
      <c r="AS3101" s="65"/>
      <c r="AT3101" s="65"/>
    </row>
    <row r="3102" spans="45:46" x14ac:dyDescent="0.25">
      <c r="AS3102" s="65"/>
      <c r="AT3102" s="65"/>
    </row>
    <row r="3103" spans="45:46" x14ac:dyDescent="0.25">
      <c r="AS3103" s="65"/>
      <c r="AT3103" s="65"/>
    </row>
    <row r="3104" spans="45:46" x14ac:dyDescent="0.25">
      <c r="AS3104" s="65"/>
      <c r="AT3104" s="65"/>
    </row>
    <row r="3105" spans="45:46" x14ac:dyDescent="0.25">
      <c r="AS3105" s="65"/>
      <c r="AT3105" s="65"/>
    </row>
    <row r="3106" spans="45:46" x14ac:dyDescent="0.25">
      <c r="AS3106" s="65"/>
      <c r="AT3106" s="65"/>
    </row>
    <row r="3107" spans="45:46" x14ac:dyDescent="0.25">
      <c r="AS3107" s="65"/>
      <c r="AT3107" s="65"/>
    </row>
    <row r="3108" spans="45:46" x14ac:dyDescent="0.25">
      <c r="AS3108" s="65"/>
      <c r="AT3108" s="65"/>
    </row>
    <row r="3109" spans="45:46" x14ac:dyDescent="0.25">
      <c r="AS3109" s="65"/>
      <c r="AT3109" s="65"/>
    </row>
    <row r="3110" spans="45:46" x14ac:dyDescent="0.25">
      <c r="AS3110" s="65"/>
      <c r="AT3110" s="65"/>
    </row>
    <row r="3111" spans="45:46" x14ac:dyDescent="0.25">
      <c r="AS3111" s="65"/>
      <c r="AT3111" s="65"/>
    </row>
    <row r="3112" spans="45:46" x14ac:dyDescent="0.25">
      <c r="AS3112" s="65"/>
      <c r="AT3112" s="65"/>
    </row>
    <row r="3113" spans="45:46" x14ac:dyDescent="0.25">
      <c r="AS3113" s="65"/>
      <c r="AT3113" s="65"/>
    </row>
    <row r="3114" spans="45:46" x14ac:dyDescent="0.25">
      <c r="AS3114" s="65"/>
      <c r="AT3114" s="65"/>
    </row>
    <row r="3115" spans="45:46" x14ac:dyDescent="0.25">
      <c r="AS3115" s="65"/>
      <c r="AT3115" s="65"/>
    </row>
    <row r="3116" spans="45:46" x14ac:dyDescent="0.25">
      <c r="AS3116" s="65"/>
      <c r="AT3116" s="65"/>
    </row>
    <row r="3117" spans="45:46" x14ac:dyDescent="0.25">
      <c r="AS3117" s="65"/>
      <c r="AT3117" s="65"/>
    </row>
    <row r="3118" spans="45:46" x14ac:dyDescent="0.25">
      <c r="AS3118" s="65"/>
      <c r="AT3118" s="65"/>
    </row>
    <row r="3119" spans="45:46" x14ac:dyDescent="0.25">
      <c r="AS3119" s="65"/>
      <c r="AT3119" s="65"/>
    </row>
    <row r="3120" spans="45:46" x14ac:dyDescent="0.25">
      <c r="AS3120" s="65"/>
      <c r="AT3120" s="65"/>
    </row>
    <row r="3121" spans="45:46" x14ac:dyDescent="0.25">
      <c r="AS3121" s="65"/>
      <c r="AT3121" s="65"/>
    </row>
    <row r="3122" spans="45:46" x14ac:dyDescent="0.25">
      <c r="AS3122" s="65"/>
      <c r="AT3122" s="65"/>
    </row>
    <row r="3123" spans="45:46" x14ac:dyDescent="0.25">
      <c r="AS3123" s="65"/>
      <c r="AT3123" s="65"/>
    </row>
    <row r="3124" spans="45:46" x14ac:dyDescent="0.25">
      <c r="AS3124" s="65"/>
      <c r="AT3124" s="65"/>
    </row>
    <row r="3125" spans="45:46" x14ac:dyDescent="0.25">
      <c r="AS3125" s="65"/>
      <c r="AT3125" s="65"/>
    </row>
    <row r="3126" spans="45:46" x14ac:dyDescent="0.25">
      <c r="AS3126" s="65"/>
      <c r="AT3126" s="65"/>
    </row>
    <row r="3127" spans="45:46" x14ac:dyDescent="0.25">
      <c r="AS3127" s="65"/>
      <c r="AT3127" s="65"/>
    </row>
    <row r="3128" spans="45:46" x14ac:dyDescent="0.25">
      <c r="AS3128" s="65"/>
      <c r="AT3128" s="65"/>
    </row>
    <row r="3129" spans="45:46" x14ac:dyDescent="0.25">
      <c r="AS3129" s="65"/>
      <c r="AT3129" s="65"/>
    </row>
    <row r="3130" spans="45:46" x14ac:dyDescent="0.25">
      <c r="AS3130" s="65"/>
      <c r="AT3130" s="65"/>
    </row>
    <row r="3131" spans="45:46" x14ac:dyDescent="0.25">
      <c r="AS3131" s="65"/>
      <c r="AT3131" s="65"/>
    </row>
    <row r="3132" spans="45:46" x14ac:dyDescent="0.25">
      <c r="AS3132" s="65"/>
      <c r="AT3132" s="65"/>
    </row>
    <row r="3133" spans="45:46" x14ac:dyDescent="0.25">
      <c r="AS3133" s="65"/>
      <c r="AT3133" s="65"/>
    </row>
    <row r="3134" spans="45:46" x14ac:dyDescent="0.25">
      <c r="AS3134" s="65"/>
      <c r="AT3134" s="65"/>
    </row>
    <row r="3135" spans="45:46" x14ac:dyDescent="0.25">
      <c r="AS3135" s="65"/>
      <c r="AT3135" s="65"/>
    </row>
    <row r="3136" spans="45:46" x14ac:dyDescent="0.25">
      <c r="AS3136" s="65"/>
      <c r="AT3136" s="65"/>
    </row>
    <row r="3137" spans="45:46" x14ac:dyDescent="0.25">
      <c r="AS3137" s="65"/>
      <c r="AT3137" s="65"/>
    </row>
    <row r="3138" spans="45:46" x14ac:dyDescent="0.25">
      <c r="AS3138" s="65"/>
      <c r="AT3138" s="65"/>
    </row>
    <row r="3139" spans="45:46" x14ac:dyDescent="0.25">
      <c r="AS3139" s="65"/>
      <c r="AT3139" s="65"/>
    </row>
    <row r="3140" spans="45:46" x14ac:dyDescent="0.25">
      <c r="AS3140" s="65"/>
      <c r="AT3140" s="65"/>
    </row>
    <row r="3141" spans="45:46" x14ac:dyDescent="0.25">
      <c r="AS3141" s="65"/>
      <c r="AT3141" s="65"/>
    </row>
    <row r="3142" spans="45:46" x14ac:dyDescent="0.25">
      <c r="AS3142" s="65"/>
      <c r="AT3142" s="65"/>
    </row>
    <row r="3143" spans="45:46" x14ac:dyDescent="0.25">
      <c r="AS3143" s="65"/>
      <c r="AT3143" s="65"/>
    </row>
    <row r="3144" spans="45:46" x14ac:dyDescent="0.25">
      <c r="AS3144" s="65"/>
      <c r="AT3144" s="65"/>
    </row>
    <row r="3145" spans="45:46" x14ac:dyDescent="0.25">
      <c r="AS3145" s="65"/>
      <c r="AT3145" s="65"/>
    </row>
    <row r="3146" spans="45:46" x14ac:dyDescent="0.25">
      <c r="AS3146" s="65"/>
      <c r="AT3146" s="65"/>
    </row>
    <row r="3147" spans="45:46" x14ac:dyDescent="0.25">
      <c r="AS3147" s="65"/>
      <c r="AT3147" s="65"/>
    </row>
    <row r="3148" spans="45:46" x14ac:dyDescent="0.25">
      <c r="AS3148" s="65"/>
      <c r="AT3148" s="65"/>
    </row>
    <row r="3149" spans="45:46" x14ac:dyDescent="0.25">
      <c r="AS3149" s="65"/>
      <c r="AT3149" s="65"/>
    </row>
    <row r="3150" spans="45:46" x14ac:dyDescent="0.25">
      <c r="AS3150" s="65"/>
      <c r="AT3150" s="65"/>
    </row>
    <row r="3151" spans="45:46" x14ac:dyDescent="0.25">
      <c r="AS3151" s="65"/>
      <c r="AT3151" s="65"/>
    </row>
    <row r="3152" spans="45:46" x14ac:dyDescent="0.25">
      <c r="AS3152" s="65"/>
      <c r="AT3152" s="65"/>
    </row>
    <row r="3153" spans="45:46" x14ac:dyDescent="0.25">
      <c r="AS3153" s="65"/>
      <c r="AT3153" s="65"/>
    </row>
    <row r="3154" spans="45:46" x14ac:dyDescent="0.25">
      <c r="AS3154" s="65"/>
      <c r="AT3154" s="65"/>
    </row>
    <row r="3155" spans="45:46" x14ac:dyDescent="0.25">
      <c r="AS3155" s="65"/>
      <c r="AT3155" s="65"/>
    </row>
    <row r="3156" spans="45:46" x14ac:dyDescent="0.25">
      <c r="AS3156" s="65"/>
      <c r="AT3156" s="65"/>
    </row>
    <row r="3157" spans="45:46" x14ac:dyDescent="0.25">
      <c r="AS3157" s="65"/>
      <c r="AT3157" s="65"/>
    </row>
    <row r="3158" spans="45:46" x14ac:dyDescent="0.25">
      <c r="AS3158" s="65"/>
      <c r="AT3158" s="65"/>
    </row>
    <row r="3159" spans="45:46" x14ac:dyDescent="0.25">
      <c r="AS3159" s="65"/>
      <c r="AT3159" s="65"/>
    </row>
    <row r="3160" spans="45:46" x14ac:dyDescent="0.25">
      <c r="AS3160" s="65"/>
      <c r="AT3160" s="65"/>
    </row>
    <row r="3161" spans="45:46" x14ac:dyDescent="0.25">
      <c r="AS3161" s="65"/>
      <c r="AT3161" s="65"/>
    </row>
    <row r="3162" spans="45:46" x14ac:dyDescent="0.25">
      <c r="AS3162" s="65"/>
      <c r="AT3162" s="65"/>
    </row>
    <row r="3163" spans="45:46" x14ac:dyDescent="0.25">
      <c r="AS3163" s="65"/>
      <c r="AT3163" s="65"/>
    </row>
    <row r="3164" spans="45:46" x14ac:dyDescent="0.25">
      <c r="AS3164" s="65"/>
      <c r="AT3164" s="65"/>
    </row>
    <row r="3165" spans="45:46" x14ac:dyDescent="0.25">
      <c r="AS3165" s="65"/>
      <c r="AT3165" s="65"/>
    </row>
    <row r="3166" spans="45:46" x14ac:dyDescent="0.25">
      <c r="AS3166" s="65"/>
      <c r="AT3166" s="65"/>
    </row>
    <row r="3167" spans="45:46" x14ac:dyDescent="0.25">
      <c r="AS3167" s="65"/>
      <c r="AT3167" s="65"/>
    </row>
    <row r="3168" spans="45:46" x14ac:dyDescent="0.25">
      <c r="AS3168" s="65"/>
      <c r="AT3168" s="65"/>
    </row>
    <row r="3169" spans="45:46" x14ac:dyDescent="0.25">
      <c r="AS3169" s="65"/>
      <c r="AT3169" s="65"/>
    </row>
    <row r="3170" spans="45:46" x14ac:dyDescent="0.25">
      <c r="AS3170" s="65"/>
      <c r="AT3170" s="65"/>
    </row>
    <row r="3171" spans="45:46" x14ac:dyDescent="0.25">
      <c r="AS3171" s="65"/>
      <c r="AT3171" s="65"/>
    </row>
    <row r="3172" spans="45:46" x14ac:dyDescent="0.25">
      <c r="AS3172" s="65"/>
      <c r="AT3172" s="65"/>
    </row>
    <row r="3173" spans="45:46" x14ac:dyDescent="0.25">
      <c r="AS3173" s="65"/>
      <c r="AT3173" s="65"/>
    </row>
    <row r="3174" spans="45:46" x14ac:dyDescent="0.25">
      <c r="AS3174" s="65"/>
      <c r="AT3174" s="65"/>
    </row>
    <row r="3175" spans="45:46" x14ac:dyDescent="0.25">
      <c r="AS3175" s="65"/>
      <c r="AT3175" s="65"/>
    </row>
    <row r="3176" spans="45:46" x14ac:dyDescent="0.25">
      <c r="AS3176" s="65"/>
      <c r="AT3176" s="65"/>
    </row>
    <row r="3177" spans="45:46" x14ac:dyDescent="0.25">
      <c r="AS3177" s="65"/>
      <c r="AT3177" s="65"/>
    </row>
    <row r="3178" spans="45:46" x14ac:dyDescent="0.25">
      <c r="AS3178" s="65"/>
      <c r="AT3178" s="65"/>
    </row>
    <row r="3179" spans="45:46" x14ac:dyDescent="0.25">
      <c r="AS3179" s="65"/>
      <c r="AT3179" s="65"/>
    </row>
    <row r="3180" spans="45:46" x14ac:dyDescent="0.25">
      <c r="AS3180" s="65"/>
      <c r="AT3180" s="65"/>
    </row>
    <row r="3181" spans="45:46" x14ac:dyDescent="0.25">
      <c r="AS3181" s="65"/>
      <c r="AT3181" s="65"/>
    </row>
    <row r="3182" spans="45:46" x14ac:dyDescent="0.25">
      <c r="AS3182" s="65"/>
      <c r="AT3182" s="65"/>
    </row>
    <row r="3183" spans="45:46" x14ac:dyDescent="0.25">
      <c r="AS3183" s="65"/>
      <c r="AT3183" s="65"/>
    </row>
    <row r="3184" spans="45:46" x14ac:dyDescent="0.25">
      <c r="AS3184" s="65"/>
      <c r="AT3184" s="65"/>
    </row>
    <row r="3185" spans="45:46" x14ac:dyDescent="0.25">
      <c r="AS3185" s="65"/>
      <c r="AT3185" s="65"/>
    </row>
    <row r="3186" spans="45:46" x14ac:dyDescent="0.25">
      <c r="AS3186" s="65"/>
      <c r="AT3186" s="65"/>
    </row>
    <row r="3187" spans="45:46" x14ac:dyDescent="0.25">
      <c r="AS3187" s="65"/>
      <c r="AT3187" s="65"/>
    </row>
    <row r="3188" spans="45:46" x14ac:dyDescent="0.25">
      <c r="AS3188" s="65"/>
      <c r="AT3188" s="65"/>
    </row>
    <row r="3189" spans="45:46" x14ac:dyDescent="0.25">
      <c r="AS3189" s="65"/>
      <c r="AT3189" s="65"/>
    </row>
    <row r="3190" spans="45:46" x14ac:dyDescent="0.25">
      <c r="AS3190" s="65"/>
      <c r="AT3190" s="65"/>
    </row>
    <row r="3191" spans="45:46" x14ac:dyDescent="0.25">
      <c r="AS3191" s="65"/>
      <c r="AT3191" s="65"/>
    </row>
    <row r="3192" spans="45:46" x14ac:dyDescent="0.25">
      <c r="AS3192" s="65"/>
      <c r="AT3192" s="65"/>
    </row>
    <row r="3193" spans="45:46" x14ac:dyDescent="0.25">
      <c r="AS3193" s="65"/>
      <c r="AT3193" s="65"/>
    </row>
    <row r="3194" spans="45:46" x14ac:dyDescent="0.25">
      <c r="AS3194" s="65"/>
      <c r="AT3194" s="65"/>
    </row>
    <row r="3195" spans="45:46" x14ac:dyDescent="0.25">
      <c r="AS3195" s="65"/>
      <c r="AT3195" s="65"/>
    </row>
    <row r="3196" spans="45:46" x14ac:dyDescent="0.25">
      <c r="AS3196" s="65"/>
      <c r="AT3196" s="65"/>
    </row>
    <row r="3197" spans="45:46" x14ac:dyDescent="0.25">
      <c r="AS3197" s="65"/>
      <c r="AT3197" s="65"/>
    </row>
    <row r="3198" spans="45:46" x14ac:dyDescent="0.25">
      <c r="AS3198" s="65"/>
      <c r="AT3198" s="65"/>
    </row>
    <row r="3199" spans="45:46" x14ac:dyDescent="0.25">
      <c r="AS3199" s="65"/>
      <c r="AT3199" s="65"/>
    </row>
    <row r="3200" spans="45:46" x14ac:dyDescent="0.25">
      <c r="AS3200" s="65"/>
      <c r="AT3200" s="65"/>
    </row>
    <row r="3201" spans="45:46" x14ac:dyDescent="0.25">
      <c r="AS3201" s="65"/>
      <c r="AT3201" s="65"/>
    </row>
    <row r="3202" spans="45:46" x14ac:dyDescent="0.25">
      <c r="AS3202" s="65"/>
      <c r="AT3202" s="65"/>
    </row>
    <row r="3203" spans="45:46" x14ac:dyDescent="0.25">
      <c r="AS3203" s="65"/>
      <c r="AT3203" s="65"/>
    </row>
    <row r="3204" spans="45:46" x14ac:dyDescent="0.25">
      <c r="AS3204" s="65"/>
      <c r="AT3204" s="65"/>
    </row>
    <row r="3205" spans="45:46" x14ac:dyDescent="0.25">
      <c r="AS3205" s="65"/>
      <c r="AT3205" s="65"/>
    </row>
    <row r="3206" spans="45:46" x14ac:dyDescent="0.25">
      <c r="AS3206" s="65"/>
      <c r="AT3206" s="65"/>
    </row>
    <row r="3207" spans="45:46" x14ac:dyDescent="0.25">
      <c r="AS3207" s="65"/>
      <c r="AT3207" s="65"/>
    </row>
    <row r="3208" spans="45:46" x14ac:dyDescent="0.25">
      <c r="AS3208" s="65"/>
      <c r="AT3208" s="65"/>
    </row>
    <row r="3209" spans="45:46" x14ac:dyDescent="0.25">
      <c r="AS3209" s="65"/>
      <c r="AT3209" s="65"/>
    </row>
    <row r="3210" spans="45:46" x14ac:dyDescent="0.25">
      <c r="AS3210" s="65"/>
      <c r="AT3210" s="65"/>
    </row>
    <row r="3211" spans="45:46" x14ac:dyDescent="0.25">
      <c r="AS3211" s="65"/>
      <c r="AT3211" s="65"/>
    </row>
    <row r="3212" spans="45:46" x14ac:dyDescent="0.25">
      <c r="AS3212" s="65"/>
      <c r="AT3212" s="65"/>
    </row>
    <row r="3213" spans="45:46" x14ac:dyDescent="0.25">
      <c r="AS3213" s="65"/>
      <c r="AT3213" s="65"/>
    </row>
    <row r="3214" spans="45:46" x14ac:dyDescent="0.25">
      <c r="AS3214" s="65"/>
      <c r="AT3214" s="65"/>
    </row>
    <row r="3215" spans="45:46" x14ac:dyDescent="0.25">
      <c r="AS3215" s="65"/>
      <c r="AT3215" s="65"/>
    </row>
    <row r="3216" spans="45:46" x14ac:dyDescent="0.25">
      <c r="AS3216" s="65"/>
      <c r="AT3216" s="65"/>
    </row>
    <row r="3217" spans="45:46" x14ac:dyDescent="0.25">
      <c r="AS3217" s="65"/>
      <c r="AT3217" s="65"/>
    </row>
    <row r="3218" spans="45:46" x14ac:dyDescent="0.25">
      <c r="AS3218" s="65"/>
      <c r="AT3218" s="65"/>
    </row>
    <row r="3219" spans="45:46" x14ac:dyDescent="0.25">
      <c r="AS3219" s="65"/>
      <c r="AT3219" s="65"/>
    </row>
    <row r="3220" spans="45:46" x14ac:dyDescent="0.25">
      <c r="AS3220" s="65"/>
      <c r="AT3220" s="65"/>
    </row>
    <row r="3221" spans="45:46" x14ac:dyDescent="0.25">
      <c r="AS3221" s="65"/>
      <c r="AT3221" s="65"/>
    </row>
    <row r="3222" spans="45:46" x14ac:dyDescent="0.25">
      <c r="AS3222" s="65"/>
      <c r="AT3222" s="65"/>
    </row>
    <row r="3223" spans="45:46" x14ac:dyDescent="0.25">
      <c r="AS3223" s="65"/>
      <c r="AT3223" s="65"/>
    </row>
    <row r="3224" spans="45:46" x14ac:dyDescent="0.25">
      <c r="AS3224" s="65"/>
      <c r="AT3224" s="65"/>
    </row>
    <row r="3225" spans="45:46" x14ac:dyDescent="0.25">
      <c r="AS3225" s="65"/>
      <c r="AT3225" s="65"/>
    </row>
    <row r="3226" spans="45:46" x14ac:dyDescent="0.25">
      <c r="AS3226" s="65"/>
      <c r="AT3226" s="65"/>
    </row>
    <row r="3227" spans="45:46" x14ac:dyDescent="0.25">
      <c r="AS3227" s="65"/>
      <c r="AT3227" s="65"/>
    </row>
    <row r="3228" spans="45:46" x14ac:dyDescent="0.25">
      <c r="AS3228" s="65"/>
      <c r="AT3228" s="65"/>
    </row>
    <row r="3229" spans="45:46" x14ac:dyDescent="0.25">
      <c r="AS3229" s="65"/>
      <c r="AT3229" s="65"/>
    </row>
    <row r="3230" spans="45:46" x14ac:dyDescent="0.25">
      <c r="AS3230" s="65"/>
      <c r="AT3230" s="65"/>
    </row>
    <row r="3231" spans="45:46" x14ac:dyDescent="0.25">
      <c r="AS3231" s="65"/>
      <c r="AT3231" s="65"/>
    </row>
    <row r="3232" spans="45:46" x14ac:dyDescent="0.25">
      <c r="AS3232" s="65"/>
      <c r="AT3232" s="65"/>
    </row>
    <row r="3233" spans="45:46" x14ac:dyDescent="0.25">
      <c r="AS3233" s="65"/>
      <c r="AT3233" s="65"/>
    </row>
    <row r="3234" spans="45:46" x14ac:dyDescent="0.25">
      <c r="AS3234" s="65"/>
      <c r="AT3234" s="65"/>
    </row>
    <row r="3235" spans="45:46" x14ac:dyDescent="0.25">
      <c r="AS3235" s="65"/>
      <c r="AT3235" s="65"/>
    </row>
    <row r="3236" spans="45:46" x14ac:dyDescent="0.25">
      <c r="AS3236" s="65"/>
      <c r="AT3236" s="65"/>
    </row>
    <row r="3237" spans="45:46" x14ac:dyDescent="0.25">
      <c r="AS3237" s="65"/>
      <c r="AT3237" s="65"/>
    </row>
    <row r="3238" spans="45:46" x14ac:dyDescent="0.25">
      <c r="AS3238" s="65"/>
      <c r="AT3238" s="65"/>
    </row>
    <row r="3239" spans="45:46" x14ac:dyDescent="0.25">
      <c r="AS3239" s="65"/>
      <c r="AT3239" s="65"/>
    </row>
    <row r="3240" spans="45:46" x14ac:dyDescent="0.25">
      <c r="AS3240" s="65"/>
      <c r="AT3240" s="65"/>
    </row>
    <row r="3241" spans="45:46" x14ac:dyDescent="0.25">
      <c r="AS3241" s="65"/>
      <c r="AT3241" s="65"/>
    </row>
    <row r="3242" spans="45:46" x14ac:dyDescent="0.25">
      <c r="AS3242" s="65"/>
      <c r="AT3242" s="65"/>
    </row>
    <row r="3243" spans="45:46" x14ac:dyDescent="0.25">
      <c r="AS3243" s="65"/>
      <c r="AT3243" s="65"/>
    </row>
    <row r="3244" spans="45:46" x14ac:dyDescent="0.25">
      <c r="AS3244" s="65"/>
      <c r="AT3244" s="65"/>
    </row>
    <row r="3245" spans="45:46" x14ac:dyDescent="0.25">
      <c r="AS3245" s="65"/>
      <c r="AT3245" s="65"/>
    </row>
    <row r="3246" spans="45:46" x14ac:dyDescent="0.25">
      <c r="AS3246" s="65"/>
      <c r="AT3246" s="65"/>
    </row>
    <row r="3247" spans="45:46" x14ac:dyDescent="0.25">
      <c r="AS3247" s="65"/>
      <c r="AT3247" s="65"/>
    </row>
    <row r="3248" spans="45:46" x14ac:dyDescent="0.25">
      <c r="AS3248" s="65"/>
      <c r="AT3248" s="65"/>
    </row>
    <row r="3249" spans="45:46" x14ac:dyDescent="0.25">
      <c r="AS3249" s="65"/>
      <c r="AT3249" s="65"/>
    </row>
    <row r="3250" spans="45:46" x14ac:dyDescent="0.25">
      <c r="AS3250" s="65"/>
      <c r="AT3250" s="65"/>
    </row>
    <row r="3251" spans="45:46" x14ac:dyDescent="0.25">
      <c r="AS3251" s="65"/>
      <c r="AT3251" s="65"/>
    </row>
    <row r="3252" spans="45:46" x14ac:dyDescent="0.25">
      <c r="AS3252" s="65"/>
      <c r="AT3252" s="65"/>
    </row>
    <row r="3253" spans="45:46" x14ac:dyDescent="0.25">
      <c r="AS3253" s="65"/>
      <c r="AT3253" s="65"/>
    </row>
    <row r="3254" spans="45:46" x14ac:dyDescent="0.25">
      <c r="AS3254" s="65"/>
      <c r="AT3254" s="65"/>
    </row>
    <row r="3255" spans="45:46" x14ac:dyDescent="0.25">
      <c r="AS3255" s="65"/>
      <c r="AT3255" s="65"/>
    </row>
    <row r="3256" spans="45:46" x14ac:dyDescent="0.25">
      <c r="AS3256" s="65"/>
      <c r="AT3256" s="65"/>
    </row>
    <row r="3257" spans="45:46" x14ac:dyDescent="0.25">
      <c r="AS3257" s="65"/>
      <c r="AT3257" s="65"/>
    </row>
    <row r="3258" spans="45:46" x14ac:dyDescent="0.25">
      <c r="AS3258" s="65"/>
      <c r="AT3258" s="65"/>
    </row>
    <row r="3259" spans="45:46" x14ac:dyDescent="0.25">
      <c r="AS3259" s="65"/>
      <c r="AT3259" s="65"/>
    </row>
    <row r="3260" spans="45:46" x14ac:dyDescent="0.25">
      <c r="AS3260" s="65"/>
      <c r="AT3260" s="65"/>
    </row>
    <row r="3261" spans="45:46" x14ac:dyDescent="0.25">
      <c r="AS3261" s="65"/>
      <c r="AT3261" s="65"/>
    </row>
    <row r="3262" spans="45:46" x14ac:dyDescent="0.25">
      <c r="AS3262" s="65"/>
      <c r="AT3262" s="65"/>
    </row>
    <row r="3263" spans="45:46" x14ac:dyDescent="0.25">
      <c r="AS3263" s="65"/>
      <c r="AT3263" s="65"/>
    </row>
    <row r="3264" spans="45:46" x14ac:dyDescent="0.25">
      <c r="AS3264" s="65"/>
      <c r="AT3264" s="65"/>
    </row>
    <row r="3265" spans="45:46" x14ac:dyDescent="0.25">
      <c r="AS3265" s="65"/>
      <c r="AT3265" s="65"/>
    </row>
    <row r="3266" spans="45:46" x14ac:dyDescent="0.25">
      <c r="AS3266" s="65"/>
      <c r="AT3266" s="65"/>
    </row>
    <row r="3267" spans="45:46" x14ac:dyDescent="0.25">
      <c r="AS3267" s="65"/>
      <c r="AT3267" s="65"/>
    </row>
    <row r="3268" spans="45:46" x14ac:dyDescent="0.25">
      <c r="AS3268" s="65"/>
      <c r="AT3268" s="65"/>
    </row>
    <row r="3269" spans="45:46" x14ac:dyDescent="0.25">
      <c r="AS3269" s="65"/>
      <c r="AT3269" s="65"/>
    </row>
    <row r="3270" spans="45:46" x14ac:dyDescent="0.25">
      <c r="AS3270" s="65"/>
      <c r="AT3270" s="65"/>
    </row>
    <row r="3271" spans="45:46" x14ac:dyDescent="0.25">
      <c r="AS3271" s="65"/>
      <c r="AT3271" s="65"/>
    </row>
    <row r="3272" spans="45:46" x14ac:dyDescent="0.25">
      <c r="AS3272" s="65"/>
      <c r="AT3272" s="65"/>
    </row>
    <row r="3273" spans="45:46" x14ac:dyDescent="0.25">
      <c r="AS3273" s="65"/>
      <c r="AT3273" s="65"/>
    </row>
    <row r="3274" spans="45:46" x14ac:dyDescent="0.25">
      <c r="AS3274" s="65"/>
      <c r="AT3274" s="65"/>
    </row>
    <row r="3275" spans="45:46" x14ac:dyDescent="0.25">
      <c r="AS3275" s="65"/>
      <c r="AT3275" s="65"/>
    </row>
    <row r="3276" spans="45:46" x14ac:dyDescent="0.25">
      <c r="AS3276" s="65"/>
      <c r="AT3276" s="65"/>
    </row>
    <row r="3277" spans="45:46" x14ac:dyDescent="0.25">
      <c r="AS3277" s="65"/>
      <c r="AT3277" s="65"/>
    </row>
    <row r="3278" spans="45:46" x14ac:dyDescent="0.25">
      <c r="AS3278" s="65"/>
      <c r="AT3278" s="65"/>
    </row>
    <row r="3279" spans="45:46" x14ac:dyDescent="0.25">
      <c r="AS3279" s="65"/>
      <c r="AT3279" s="65"/>
    </row>
    <row r="3280" spans="45:46" x14ac:dyDescent="0.25">
      <c r="AS3280" s="65"/>
      <c r="AT3280" s="65"/>
    </row>
    <row r="3281" spans="45:46" x14ac:dyDescent="0.25">
      <c r="AS3281" s="65"/>
      <c r="AT3281" s="65"/>
    </row>
    <row r="3282" spans="45:46" x14ac:dyDescent="0.25">
      <c r="AS3282" s="65"/>
      <c r="AT3282" s="65"/>
    </row>
    <row r="3283" spans="45:46" x14ac:dyDescent="0.25">
      <c r="AS3283" s="65"/>
      <c r="AT3283" s="65"/>
    </row>
    <row r="3284" spans="45:46" x14ac:dyDescent="0.25">
      <c r="AS3284" s="65"/>
      <c r="AT3284" s="65"/>
    </row>
    <row r="3285" spans="45:46" x14ac:dyDescent="0.25">
      <c r="AS3285" s="65"/>
      <c r="AT3285" s="65"/>
    </row>
    <row r="3286" spans="45:46" x14ac:dyDescent="0.25">
      <c r="AS3286" s="65"/>
      <c r="AT3286" s="65"/>
    </row>
    <row r="3287" spans="45:46" x14ac:dyDescent="0.25">
      <c r="AS3287" s="65"/>
      <c r="AT3287" s="65"/>
    </row>
    <row r="3288" spans="45:46" x14ac:dyDescent="0.25">
      <c r="AS3288" s="65"/>
      <c r="AT3288" s="65"/>
    </row>
    <row r="3289" spans="45:46" x14ac:dyDescent="0.25">
      <c r="AS3289" s="65"/>
      <c r="AT3289" s="65"/>
    </row>
    <row r="3290" spans="45:46" x14ac:dyDescent="0.25">
      <c r="AS3290" s="65"/>
      <c r="AT3290" s="65"/>
    </row>
    <row r="3291" spans="45:46" x14ac:dyDescent="0.25">
      <c r="AS3291" s="65"/>
      <c r="AT3291" s="65"/>
    </row>
    <row r="3292" spans="45:46" x14ac:dyDescent="0.25">
      <c r="AS3292" s="65"/>
      <c r="AT3292" s="65"/>
    </row>
    <row r="3293" spans="45:46" x14ac:dyDescent="0.25">
      <c r="AS3293" s="65"/>
      <c r="AT3293" s="65"/>
    </row>
    <row r="3294" spans="45:46" x14ac:dyDescent="0.25">
      <c r="AS3294" s="65"/>
      <c r="AT3294" s="65"/>
    </row>
    <row r="3295" spans="45:46" x14ac:dyDescent="0.25">
      <c r="AS3295" s="65"/>
      <c r="AT3295" s="65"/>
    </row>
    <row r="3296" spans="45:46" x14ac:dyDescent="0.25">
      <c r="AS3296" s="65"/>
      <c r="AT3296" s="65"/>
    </row>
    <row r="3297" spans="45:46" x14ac:dyDescent="0.25">
      <c r="AS3297" s="65"/>
      <c r="AT3297" s="65"/>
    </row>
    <row r="3298" spans="45:46" x14ac:dyDescent="0.25">
      <c r="AS3298" s="65"/>
      <c r="AT3298" s="65"/>
    </row>
    <row r="3299" spans="45:46" x14ac:dyDescent="0.25">
      <c r="AS3299" s="65"/>
      <c r="AT3299" s="65"/>
    </row>
    <row r="3300" spans="45:46" x14ac:dyDescent="0.25">
      <c r="AS3300" s="65"/>
      <c r="AT3300" s="65"/>
    </row>
    <row r="3301" spans="45:46" x14ac:dyDescent="0.25">
      <c r="AS3301" s="65"/>
      <c r="AT3301" s="65"/>
    </row>
    <row r="3302" spans="45:46" x14ac:dyDescent="0.25">
      <c r="AS3302" s="65"/>
      <c r="AT3302" s="65"/>
    </row>
    <row r="3303" spans="45:46" x14ac:dyDescent="0.25">
      <c r="AS3303" s="65"/>
      <c r="AT3303" s="65"/>
    </row>
    <row r="3304" spans="45:46" x14ac:dyDescent="0.25">
      <c r="AS3304" s="65"/>
      <c r="AT3304" s="65"/>
    </row>
    <row r="3305" spans="45:46" x14ac:dyDescent="0.25">
      <c r="AS3305" s="65"/>
      <c r="AT3305" s="65"/>
    </row>
    <row r="3306" spans="45:46" x14ac:dyDescent="0.25">
      <c r="AS3306" s="65"/>
      <c r="AT3306" s="65"/>
    </row>
    <row r="3307" spans="45:46" x14ac:dyDescent="0.25">
      <c r="AS3307" s="65"/>
      <c r="AT3307" s="65"/>
    </row>
    <row r="3308" spans="45:46" x14ac:dyDescent="0.25">
      <c r="AS3308" s="65"/>
      <c r="AT3308" s="65"/>
    </row>
    <row r="3309" spans="45:46" x14ac:dyDescent="0.25">
      <c r="AS3309" s="65"/>
      <c r="AT3309" s="65"/>
    </row>
    <row r="3310" spans="45:46" x14ac:dyDescent="0.25">
      <c r="AS3310" s="65"/>
      <c r="AT3310" s="65"/>
    </row>
    <row r="3311" spans="45:46" x14ac:dyDescent="0.25">
      <c r="AS3311" s="65"/>
      <c r="AT3311" s="65"/>
    </row>
    <row r="3312" spans="45:46" x14ac:dyDescent="0.25">
      <c r="AS3312" s="65"/>
      <c r="AT3312" s="65"/>
    </row>
    <row r="3313" spans="45:46" x14ac:dyDescent="0.25">
      <c r="AS3313" s="65"/>
      <c r="AT3313" s="65"/>
    </row>
    <row r="3314" spans="45:46" x14ac:dyDescent="0.25">
      <c r="AS3314" s="65"/>
      <c r="AT3314" s="65"/>
    </row>
    <row r="3315" spans="45:46" x14ac:dyDescent="0.25">
      <c r="AS3315" s="65"/>
      <c r="AT3315" s="65"/>
    </row>
    <row r="3316" spans="45:46" x14ac:dyDescent="0.25">
      <c r="AS3316" s="65"/>
      <c r="AT3316" s="65"/>
    </row>
    <row r="3317" spans="45:46" x14ac:dyDescent="0.25">
      <c r="AS3317" s="65"/>
      <c r="AT3317" s="65"/>
    </row>
    <row r="3318" spans="45:46" x14ac:dyDescent="0.25">
      <c r="AS3318" s="65"/>
      <c r="AT3318" s="65"/>
    </row>
    <row r="3319" spans="45:46" x14ac:dyDescent="0.25">
      <c r="AS3319" s="65"/>
      <c r="AT3319" s="65"/>
    </row>
    <row r="3320" spans="45:46" x14ac:dyDescent="0.25">
      <c r="AS3320" s="65"/>
      <c r="AT3320" s="65"/>
    </row>
    <row r="3321" spans="45:46" x14ac:dyDescent="0.25">
      <c r="AS3321" s="65"/>
      <c r="AT3321" s="65"/>
    </row>
    <row r="3322" spans="45:46" x14ac:dyDescent="0.25">
      <c r="AS3322" s="65"/>
      <c r="AT3322" s="65"/>
    </row>
    <row r="3323" spans="45:46" x14ac:dyDescent="0.25">
      <c r="AS3323" s="65"/>
      <c r="AT3323" s="65"/>
    </row>
    <row r="3324" spans="45:46" x14ac:dyDescent="0.25">
      <c r="AS3324" s="65"/>
      <c r="AT3324" s="65"/>
    </row>
    <row r="3325" spans="45:46" x14ac:dyDescent="0.25">
      <c r="AS3325" s="65"/>
      <c r="AT3325" s="65"/>
    </row>
    <row r="3326" spans="45:46" x14ac:dyDescent="0.25">
      <c r="AS3326" s="65"/>
      <c r="AT3326" s="65"/>
    </row>
    <row r="3327" spans="45:46" x14ac:dyDescent="0.25">
      <c r="AS3327" s="65"/>
      <c r="AT3327" s="65"/>
    </row>
    <row r="3328" spans="45:46" x14ac:dyDescent="0.25">
      <c r="AS3328" s="65"/>
      <c r="AT3328" s="65"/>
    </row>
    <row r="3329" spans="45:46" x14ac:dyDescent="0.25">
      <c r="AS3329" s="65"/>
      <c r="AT3329" s="65"/>
    </row>
    <row r="3330" spans="45:46" x14ac:dyDescent="0.25">
      <c r="AS3330" s="65"/>
      <c r="AT3330" s="65"/>
    </row>
    <row r="3331" spans="45:46" x14ac:dyDescent="0.25">
      <c r="AS3331" s="65"/>
      <c r="AT3331" s="65"/>
    </row>
    <row r="3332" spans="45:46" x14ac:dyDescent="0.25">
      <c r="AS3332" s="65"/>
      <c r="AT3332" s="65"/>
    </row>
    <row r="3333" spans="45:46" x14ac:dyDescent="0.25">
      <c r="AS3333" s="65"/>
      <c r="AT3333" s="65"/>
    </row>
    <row r="3334" spans="45:46" x14ac:dyDescent="0.25">
      <c r="AS3334" s="65"/>
      <c r="AT3334" s="65"/>
    </row>
    <row r="3335" spans="45:46" x14ac:dyDescent="0.25">
      <c r="AS3335" s="65"/>
      <c r="AT3335" s="65"/>
    </row>
    <row r="3336" spans="45:46" x14ac:dyDescent="0.25">
      <c r="AS3336" s="65"/>
      <c r="AT3336" s="65"/>
    </row>
    <row r="3337" spans="45:46" x14ac:dyDescent="0.25">
      <c r="AS3337" s="65"/>
      <c r="AT3337" s="65"/>
    </row>
    <row r="3338" spans="45:46" x14ac:dyDescent="0.25">
      <c r="AS3338" s="65"/>
      <c r="AT3338" s="65"/>
    </row>
    <row r="3339" spans="45:46" x14ac:dyDescent="0.25">
      <c r="AS3339" s="65"/>
      <c r="AT3339" s="65"/>
    </row>
    <row r="3340" spans="45:46" x14ac:dyDescent="0.25">
      <c r="AS3340" s="65"/>
      <c r="AT3340" s="65"/>
    </row>
    <row r="3341" spans="45:46" x14ac:dyDescent="0.25">
      <c r="AS3341" s="65"/>
      <c r="AT3341" s="65"/>
    </row>
    <row r="3342" spans="45:46" x14ac:dyDescent="0.25">
      <c r="AS3342" s="65"/>
      <c r="AT3342" s="65"/>
    </row>
    <row r="3343" spans="45:46" x14ac:dyDescent="0.25">
      <c r="AS3343" s="65"/>
      <c r="AT3343" s="65"/>
    </row>
    <row r="3344" spans="45:46" x14ac:dyDescent="0.25">
      <c r="AS3344" s="65"/>
      <c r="AT3344" s="65"/>
    </row>
    <row r="3345" spans="45:46" x14ac:dyDescent="0.25">
      <c r="AS3345" s="65"/>
      <c r="AT3345" s="65"/>
    </row>
    <row r="3346" spans="45:46" x14ac:dyDescent="0.25">
      <c r="AS3346" s="65"/>
      <c r="AT3346" s="65"/>
    </row>
    <row r="3347" spans="45:46" x14ac:dyDescent="0.25">
      <c r="AS3347" s="65"/>
      <c r="AT3347" s="65"/>
    </row>
    <row r="3348" spans="45:46" x14ac:dyDescent="0.25">
      <c r="AS3348" s="65"/>
      <c r="AT3348" s="65"/>
    </row>
    <row r="3349" spans="45:46" x14ac:dyDescent="0.25">
      <c r="AS3349" s="65"/>
      <c r="AT3349" s="65"/>
    </row>
    <row r="3350" spans="45:46" x14ac:dyDescent="0.25">
      <c r="AS3350" s="65"/>
      <c r="AT3350" s="65"/>
    </row>
    <row r="3351" spans="45:46" x14ac:dyDescent="0.25">
      <c r="AS3351" s="65"/>
      <c r="AT3351" s="65"/>
    </row>
    <row r="3352" spans="45:46" x14ac:dyDescent="0.25">
      <c r="AS3352" s="65"/>
      <c r="AT3352" s="65"/>
    </row>
    <row r="3353" spans="45:46" x14ac:dyDescent="0.25">
      <c r="AS3353" s="65"/>
      <c r="AT3353" s="65"/>
    </row>
    <row r="3354" spans="45:46" x14ac:dyDescent="0.25">
      <c r="AS3354" s="65"/>
      <c r="AT3354" s="65"/>
    </row>
    <row r="3355" spans="45:46" x14ac:dyDescent="0.25">
      <c r="AS3355" s="65"/>
      <c r="AT3355" s="65"/>
    </row>
    <row r="3356" spans="45:46" x14ac:dyDescent="0.25">
      <c r="AS3356" s="65"/>
      <c r="AT3356" s="65"/>
    </row>
    <row r="3357" spans="45:46" x14ac:dyDescent="0.25">
      <c r="AS3357" s="65"/>
      <c r="AT3357" s="65"/>
    </row>
    <row r="3358" spans="45:46" x14ac:dyDescent="0.25">
      <c r="AS3358" s="65"/>
      <c r="AT3358" s="65"/>
    </row>
    <row r="3359" spans="45:46" x14ac:dyDescent="0.25">
      <c r="AS3359" s="65"/>
      <c r="AT3359" s="65"/>
    </row>
    <row r="3360" spans="45:46" x14ac:dyDescent="0.25">
      <c r="AS3360" s="65"/>
      <c r="AT3360" s="65"/>
    </row>
    <row r="3361" spans="45:46" x14ac:dyDescent="0.25">
      <c r="AS3361" s="65"/>
      <c r="AT3361" s="65"/>
    </row>
    <row r="3362" spans="45:46" x14ac:dyDescent="0.25">
      <c r="AS3362" s="65"/>
      <c r="AT3362" s="65"/>
    </row>
    <row r="3363" spans="45:46" x14ac:dyDescent="0.25">
      <c r="AS3363" s="65"/>
      <c r="AT3363" s="65"/>
    </row>
    <row r="3364" spans="45:46" x14ac:dyDescent="0.25">
      <c r="AS3364" s="65"/>
      <c r="AT3364" s="65"/>
    </row>
    <row r="3365" spans="45:46" x14ac:dyDescent="0.25">
      <c r="AS3365" s="65"/>
      <c r="AT3365" s="65"/>
    </row>
    <row r="3366" spans="45:46" x14ac:dyDescent="0.25">
      <c r="AS3366" s="65"/>
      <c r="AT3366" s="65"/>
    </row>
    <row r="3367" spans="45:46" x14ac:dyDescent="0.25">
      <c r="AS3367" s="65"/>
      <c r="AT3367" s="65"/>
    </row>
    <row r="3368" spans="45:46" x14ac:dyDescent="0.25">
      <c r="AS3368" s="65"/>
      <c r="AT3368" s="65"/>
    </row>
    <row r="3369" spans="45:46" x14ac:dyDescent="0.25">
      <c r="AS3369" s="65"/>
      <c r="AT3369" s="65"/>
    </row>
    <row r="3370" spans="45:46" x14ac:dyDescent="0.25">
      <c r="AS3370" s="65"/>
      <c r="AT3370" s="65"/>
    </row>
    <row r="3371" spans="45:46" x14ac:dyDescent="0.25">
      <c r="AS3371" s="65"/>
      <c r="AT3371" s="65"/>
    </row>
    <row r="3372" spans="45:46" x14ac:dyDescent="0.25">
      <c r="AS3372" s="65"/>
      <c r="AT3372" s="65"/>
    </row>
    <row r="3373" spans="45:46" x14ac:dyDescent="0.25">
      <c r="AS3373" s="65"/>
      <c r="AT3373" s="65"/>
    </row>
    <row r="3374" spans="45:46" x14ac:dyDescent="0.25">
      <c r="AS3374" s="65"/>
      <c r="AT3374" s="65"/>
    </row>
    <row r="3375" spans="45:46" x14ac:dyDescent="0.25">
      <c r="AS3375" s="65"/>
      <c r="AT3375" s="65"/>
    </row>
    <row r="3376" spans="45:46" x14ac:dyDescent="0.25">
      <c r="AS3376" s="65"/>
      <c r="AT3376" s="65"/>
    </row>
    <row r="3377" spans="45:46" x14ac:dyDescent="0.25">
      <c r="AS3377" s="65"/>
      <c r="AT3377" s="65"/>
    </row>
    <row r="3378" spans="45:46" x14ac:dyDescent="0.25">
      <c r="AS3378" s="65"/>
      <c r="AT3378" s="65"/>
    </row>
    <row r="3379" spans="45:46" x14ac:dyDescent="0.25">
      <c r="AS3379" s="65"/>
      <c r="AT3379" s="65"/>
    </row>
    <row r="3380" spans="45:46" x14ac:dyDescent="0.25">
      <c r="AS3380" s="65"/>
      <c r="AT3380" s="65"/>
    </row>
    <row r="3381" spans="45:46" x14ac:dyDescent="0.25">
      <c r="AS3381" s="65"/>
      <c r="AT3381" s="65"/>
    </row>
    <row r="3382" spans="45:46" x14ac:dyDescent="0.25">
      <c r="AS3382" s="65"/>
      <c r="AT3382" s="65"/>
    </row>
    <row r="3383" spans="45:46" x14ac:dyDescent="0.25">
      <c r="AS3383" s="65"/>
      <c r="AT3383" s="65"/>
    </row>
    <row r="3384" spans="45:46" x14ac:dyDescent="0.25">
      <c r="AS3384" s="65"/>
      <c r="AT3384" s="65"/>
    </row>
    <row r="3385" spans="45:46" x14ac:dyDescent="0.25">
      <c r="AS3385" s="65"/>
      <c r="AT3385" s="65"/>
    </row>
    <row r="3386" spans="45:46" x14ac:dyDescent="0.25">
      <c r="AS3386" s="65"/>
      <c r="AT3386" s="65"/>
    </row>
    <row r="3387" spans="45:46" x14ac:dyDescent="0.25">
      <c r="AS3387" s="65"/>
      <c r="AT3387" s="65"/>
    </row>
    <row r="3388" spans="45:46" x14ac:dyDescent="0.25">
      <c r="AS3388" s="65"/>
      <c r="AT3388" s="65"/>
    </row>
    <row r="3389" spans="45:46" x14ac:dyDescent="0.25">
      <c r="AS3389" s="65"/>
      <c r="AT3389" s="65"/>
    </row>
    <row r="3390" spans="45:46" x14ac:dyDescent="0.25">
      <c r="AS3390" s="65"/>
      <c r="AT3390" s="65"/>
    </row>
    <row r="3391" spans="45:46" x14ac:dyDescent="0.25">
      <c r="AS3391" s="65"/>
      <c r="AT3391" s="65"/>
    </row>
    <row r="3392" spans="45:46" x14ac:dyDescent="0.25">
      <c r="AS3392" s="65"/>
      <c r="AT3392" s="65"/>
    </row>
    <row r="3393" spans="45:46" x14ac:dyDescent="0.25">
      <c r="AS3393" s="65"/>
      <c r="AT3393" s="65"/>
    </row>
    <row r="3394" spans="45:46" x14ac:dyDescent="0.25">
      <c r="AS3394" s="65"/>
      <c r="AT3394" s="65"/>
    </row>
    <row r="3395" spans="45:46" x14ac:dyDescent="0.25">
      <c r="AS3395" s="65"/>
      <c r="AT3395" s="65"/>
    </row>
    <row r="3396" spans="45:46" x14ac:dyDescent="0.25">
      <c r="AS3396" s="65"/>
      <c r="AT3396" s="65"/>
    </row>
    <row r="3397" spans="45:46" x14ac:dyDescent="0.25">
      <c r="AS3397" s="65"/>
      <c r="AT3397" s="65"/>
    </row>
    <row r="3398" spans="45:46" x14ac:dyDescent="0.25">
      <c r="AS3398" s="65"/>
      <c r="AT3398" s="65"/>
    </row>
    <row r="3399" spans="45:46" x14ac:dyDescent="0.25">
      <c r="AS3399" s="65"/>
      <c r="AT3399" s="65"/>
    </row>
    <row r="3400" spans="45:46" x14ac:dyDescent="0.25">
      <c r="AS3400" s="65"/>
      <c r="AT3400" s="65"/>
    </row>
    <row r="3401" spans="45:46" x14ac:dyDescent="0.25">
      <c r="AS3401" s="65"/>
      <c r="AT3401" s="65"/>
    </row>
    <row r="3402" spans="45:46" x14ac:dyDescent="0.25">
      <c r="AS3402" s="65"/>
      <c r="AT3402" s="65"/>
    </row>
    <row r="3403" spans="45:46" x14ac:dyDescent="0.25">
      <c r="AS3403" s="65"/>
      <c r="AT3403" s="65"/>
    </row>
    <row r="3404" spans="45:46" x14ac:dyDescent="0.25">
      <c r="AS3404" s="65"/>
      <c r="AT3404" s="65"/>
    </row>
    <row r="3405" spans="45:46" x14ac:dyDescent="0.25">
      <c r="AS3405" s="65"/>
      <c r="AT3405" s="65"/>
    </row>
    <row r="3406" spans="45:46" x14ac:dyDescent="0.25">
      <c r="AS3406" s="65"/>
      <c r="AT3406" s="65"/>
    </row>
    <row r="3407" spans="45:46" x14ac:dyDescent="0.25">
      <c r="AS3407" s="65"/>
      <c r="AT3407" s="65"/>
    </row>
    <row r="3408" spans="45:46" x14ac:dyDescent="0.25">
      <c r="AS3408" s="65"/>
      <c r="AT3408" s="65"/>
    </row>
    <row r="3409" spans="45:46" x14ac:dyDescent="0.25">
      <c r="AS3409" s="65"/>
      <c r="AT3409" s="65"/>
    </row>
    <row r="3410" spans="45:46" x14ac:dyDescent="0.25">
      <c r="AS3410" s="65"/>
      <c r="AT3410" s="65"/>
    </row>
    <row r="3411" spans="45:46" x14ac:dyDescent="0.25">
      <c r="AS3411" s="65"/>
      <c r="AT3411" s="65"/>
    </row>
    <row r="3412" spans="45:46" x14ac:dyDescent="0.25">
      <c r="AS3412" s="65"/>
      <c r="AT3412" s="65"/>
    </row>
    <row r="3413" spans="45:46" x14ac:dyDescent="0.25">
      <c r="AS3413" s="65"/>
      <c r="AT3413" s="65"/>
    </row>
    <row r="3414" spans="45:46" x14ac:dyDescent="0.25">
      <c r="AS3414" s="65"/>
      <c r="AT3414" s="65"/>
    </row>
    <row r="3415" spans="45:46" x14ac:dyDescent="0.25">
      <c r="AS3415" s="65"/>
      <c r="AT3415" s="65"/>
    </row>
    <row r="3416" spans="45:46" x14ac:dyDescent="0.25">
      <c r="AS3416" s="65"/>
      <c r="AT3416" s="65"/>
    </row>
    <row r="3417" spans="45:46" x14ac:dyDescent="0.25">
      <c r="AS3417" s="65"/>
      <c r="AT3417" s="65"/>
    </row>
    <row r="3418" spans="45:46" x14ac:dyDescent="0.25">
      <c r="AS3418" s="65"/>
      <c r="AT3418" s="65"/>
    </row>
    <row r="3419" spans="45:46" x14ac:dyDescent="0.25">
      <c r="AS3419" s="65"/>
      <c r="AT3419" s="65"/>
    </row>
    <row r="3420" spans="45:46" x14ac:dyDescent="0.25">
      <c r="AS3420" s="65"/>
      <c r="AT3420" s="65"/>
    </row>
    <row r="3421" spans="45:46" x14ac:dyDescent="0.25">
      <c r="AS3421" s="65"/>
      <c r="AT3421" s="65"/>
    </row>
    <row r="3422" spans="45:46" x14ac:dyDescent="0.25">
      <c r="AS3422" s="65"/>
      <c r="AT3422" s="65"/>
    </row>
    <row r="3423" spans="45:46" x14ac:dyDescent="0.25">
      <c r="AS3423" s="65"/>
      <c r="AT3423" s="65"/>
    </row>
    <row r="3424" spans="45:46" x14ac:dyDescent="0.25">
      <c r="AS3424" s="65"/>
      <c r="AT3424" s="65"/>
    </row>
    <row r="3425" spans="45:46" x14ac:dyDescent="0.25">
      <c r="AS3425" s="65"/>
      <c r="AT3425" s="65"/>
    </row>
    <row r="3426" spans="45:46" x14ac:dyDescent="0.25">
      <c r="AS3426" s="65"/>
      <c r="AT3426" s="65"/>
    </row>
    <row r="3427" spans="45:46" x14ac:dyDescent="0.25">
      <c r="AS3427" s="65"/>
      <c r="AT3427" s="65"/>
    </row>
    <row r="3428" spans="45:46" x14ac:dyDescent="0.25">
      <c r="AS3428" s="65"/>
      <c r="AT3428" s="65"/>
    </row>
    <row r="3429" spans="45:46" x14ac:dyDescent="0.25">
      <c r="AS3429" s="65"/>
      <c r="AT3429" s="65"/>
    </row>
    <row r="3430" spans="45:46" x14ac:dyDescent="0.25">
      <c r="AS3430" s="65"/>
      <c r="AT3430" s="65"/>
    </row>
    <row r="3431" spans="45:46" x14ac:dyDescent="0.25">
      <c r="AS3431" s="65"/>
      <c r="AT3431" s="65"/>
    </row>
    <row r="3432" spans="45:46" x14ac:dyDescent="0.25">
      <c r="AS3432" s="65"/>
      <c r="AT3432" s="65"/>
    </row>
    <row r="3433" spans="45:46" x14ac:dyDescent="0.25">
      <c r="AS3433" s="65"/>
      <c r="AT3433" s="65"/>
    </row>
    <row r="3434" spans="45:46" x14ac:dyDescent="0.25">
      <c r="AS3434" s="65"/>
      <c r="AT3434" s="65"/>
    </row>
    <row r="3435" spans="45:46" x14ac:dyDescent="0.25">
      <c r="AS3435" s="65"/>
      <c r="AT3435" s="65"/>
    </row>
    <row r="3436" spans="45:46" x14ac:dyDescent="0.25">
      <c r="AS3436" s="65"/>
      <c r="AT3436" s="65"/>
    </row>
    <row r="3437" spans="45:46" x14ac:dyDescent="0.25">
      <c r="AS3437" s="65"/>
      <c r="AT3437" s="65"/>
    </row>
    <row r="3438" spans="45:46" x14ac:dyDescent="0.25">
      <c r="AS3438" s="65"/>
      <c r="AT3438" s="65"/>
    </row>
    <row r="3439" spans="45:46" x14ac:dyDescent="0.25">
      <c r="AS3439" s="65"/>
      <c r="AT3439" s="65"/>
    </row>
    <row r="3440" spans="45:46" x14ac:dyDescent="0.25">
      <c r="AS3440" s="65"/>
      <c r="AT3440" s="65"/>
    </row>
    <row r="3441" spans="45:46" x14ac:dyDescent="0.25">
      <c r="AS3441" s="65"/>
      <c r="AT3441" s="65"/>
    </row>
    <row r="3442" spans="45:46" x14ac:dyDescent="0.25">
      <c r="AS3442" s="65"/>
      <c r="AT3442" s="65"/>
    </row>
    <row r="3443" spans="45:46" x14ac:dyDescent="0.25">
      <c r="AS3443" s="65"/>
      <c r="AT3443" s="65"/>
    </row>
    <row r="3444" spans="45:46" x14ac:dyDescent="0.25">
      <c r="AS3444" s="65"/>
      <c r="AT3444" s="65"/>
    </row>
    <row r="3445" spans="45:46" x14ac:dyDescent="0.25">
      <c r="AS3445" s="65"/>
      <c r="AT3445" s="65"/>
    </row>
    <row r="3446" spans="45:46" x14ac:dyDescent="0.25">
      <c r="AS3446" s="65"/>
      <c r="AT3446" s="65"/>
    </row>
    <row r="3447" spans="45:46" x14ac:dyDescent="0.25">
      <c r="AS3447" s="65"/>
      <c r="AT3447" s="65"/>
    </row>
    <row r="3448" spans="45:46" x14ac:dyDescent="0.25">
      <c r="AS3448" s="65"/>
      <c r="AT3448" s="65"/>
    </row>
    <row r="3449" spans="45:46" x14ac:dyDescent="0.25">
      <c r="AS3449" s="65"/>
      <c r="AT3449" s="65"/>
    </row>
    <row r="3450" spans="45:46" x14ac:dyDescent="0.25">
      <c r="AS3450" s="65"/>
      <c r="AT3450" s="65"/>
    </row>
    <row r="3451" spans="45:46" x14ac:dyDescent="0.25">
      <c r="AS3451" s="65"/>
      <c r="AT3451" s="65"/>
    </row>
    <row r="3452" spans="45:46" x14ac:dyDescent="0.25">
      <c r="AS3452" s="65"/>
      <c r="AT3452" s="65"/>
    </row>
    <row r="3453" spans="45:46" x14ac:dyDescent="0.25">
      <c r="AS3453" s="65"/>
      <c r="AT3453" s="65"/>
    </row>
    <row r="3454" spans="45:46" x14ac:dyDescent="0.25">
      <c r="AS3454" s="65"/>
      <c r="AT3454" s="65"/>
    </row>
    <row r="3455" spans="45:46" x14ac:dyDescent="0.25">
      <c r="AS3455" s="65"/>
      <c r="AT3455" s="65"/>
    </row>
    <row r="3456" spans="45:46" x14ac:dyDescent="0.25">
      <c r="AS3456" s="65"/>
      <c r="AT3456" s="65"/>
    </row>
    <row r="3457" spans="45:46" x14ac:dyDescent="0.25">
      <c r="AS3457" s="65"/>
      <c r="AT3457" s="65"/>
    </row>
    <row r="3458" spans="45:46" x14ac:dyDescent="0.25">
      <c r="AS3458" s="65"/>
      <c r="AT3458" s="65"/>
    </row>
    <row r="3459" spans="45:46" x14ac:dyDescent="0.25">
      <c r="AS3459" s="65"/>
      <c r="AT3459" s="65"/>
    </row>
    <row r="3460" spans="45:46" x14ac:dyDescent="0.25">
      <c r="AS3460" s="65"/>
      <c r="AT3460" s="65"/>
    </row>
    <row r="3461" spans="45:46" x14ac:dyDescent="0.25">
      <c r="AS3461" s="65"/>
      <c r="AT3461" s="65"/>
    </row>
    <row r="3462" spans="45:46" x14ac:dyDescent="0.25">
      <c r="AS3462" s="65"/>
      <c r="AT3462" s="65"/>
    </row>
    <row r="3463" spans="45:46" x14ac:dyDescent="0.25">
      <c r="AS3463" s="65"/>
      <c r="AT3463" s="65"/>
    </row>
    <row r="3464" spans="45:46" x14ac:dyDescent="0.25">
      <c r="AS3464" s="65"/>
      <c r="AT3464" s="65"/>
    </row>
    <row r="3465" spans="45:46" x14ac:dyDescent="0.25">
      <c r="AS3465" s="65"/>
      <c r="AT3465" s="65"/>
    </row>
    <row r="3466" spans="45:46" x14ac:dyDescent="0.25">
      <c r="AS3466" s="65"/>
      <c r="AT3466" s="65"/>
    </row>
    <row r="3467" spans="45:46" x14ac:dyDescent="0.25">
      <c r="AS3467" s="65"/>
      <c r="AT3467" s="65"/>
    </row>
    <row r="3468" spans="45:46" x14ac:dyDescent="0.25">
      <c r="AS3468" s="65"/>
      <c r="AT3468" s="65"/>
    </row>
    <row r="3469" spans="45:46" x14ac:dyDescent="0.25">
      <c r="AS3469" s="65"/>
      <c r="AT3469" s="65"/>
    </row>
    <row r="3470" spans="45:46" x14ac:dyDescent="0.25">
      <c r="AS3470" s="65"/>
      <c r="AT3470" s="65"/>
    </row>
    <row r="3471" spans="45:46" x14ac:dyDescent="0.25">
      <c r="AS3471" s="65"/>
      <c r="AT3471" s="65"/>
    </row>
    <row r="3472" spans="45:46" x14ac:dyDescent="0.25">
      <c r="AS3472" s="65"/>
      <c r="AT3472" s="65"/>
    </row>
    <row r="3473" spans="45:46" x14ac:dyDescent="0.25">
      <c r="AS3473" s="65"/>
      <c r="AT3473" s="65"/>
    </row>
    <row r="3474" spans="45:46" x14ac:dyDescent="0.25">
      <c r="AS3474" s="65"/>
      <c r="AT3474" s="65"/>
    </row>
    <row r="3475" spans="45:46" x14ac:dyDescent="0.25">
      <c r="AS3475" s="65"/>
      <c r="AT3475" s="65"/>
    </row>
    <row r="3476" spans="45:46" x14ac:dyDescent="0.25">
      <c r="AS3476" s="65"/>
      <c r="AT3476" s="65"/>
    </row>
    <row r="3477" spans="45:46" x14ac:dyDescent="0.25">
      <c r="AS3477" s="65"/>
      <c r="AT3477" s="65"/>
    </row>
    <row r="3478" spans="45:46" x14ac:dyDescent="0.25">
      <c r="AS3478" s="65"/>
      <c r="AT3478" s="65"/>
    </row>
    <row r="3479" spans="45:46" x14ac:dyDescent="0.25">
      <c r="AS3479" s="65"/>
      <c r="AT3479" s="65"/>
    </row>
    <row r="3480" spans="45:46" x14ac:dyDescent="0.25">
      <c r="AS3480" s="65"/>
      <c r="AT3480" s="65"/>
    </row>
    <row r="3481" spans="45:46" x14ac:dyDescent="0.25">
      <c r="AS3481" s="65"/>
      <c r="AT3481" s="65"/>
    </row>
    <row r="3482" spans="45:46" x14ac:dyDescent="0.25">
      <c r="AS3482" s="65"/>
      <c r="AT3482" s="65"/>
    </row>
    <row r="3483" spans="45:46" x14ac:dyDescent="0.25">
      <c r="AS3483" s="65"/>
      <c r="AT3483" s="65"/>
    </row>
    <row r="3484" spans="45:46" x14ac:dyDescent="0.25">
      <c r="AS3484" s="65"/>
      <c r="AT3484" s="65"/>
    </row>
    <row r="3485" spans="45:46" x14ac:dyDescent="0.25">
      <c r="AS3485" s="65"/>
      <c r="AT3485" s="65"/>
    </row>
    <row r="3486" spans="45:46" x14ac:dyDescent="0.25">
      <c r="AS3486" s="65"/>
      <c r="AT3486" s="65"/>
    </row>
    <row r="3487" spans="45:46" x14ac:dyDescent="0.25">
      <c r="AS3487" s="65"/>
      <c r="AT3487" s="65"/>
    </row>
    <row r="3488" spans="45:46" x14ac:dyDescent="0.25">
      <c r="AS3488" s="65"/>
      <c r="AT3488" s="65"/>
    </row>
    <row r="3489" spans="45:46" x14ac:dyDescent="0.25">
      <c r="AS3489" s="65"/>
      <c r="AT3489" s="65"/>
    </row>
    <row r="3490" spans="45:46" x14ac:dyDescent="0.25">
      <c r="AS3490" s="65"/>
      <c r="AT3490" s="65"/>
    </row>
    <row r="3491" spans="45:46" x14ac:dyDescent="0.25">
      <c r="AS3491" s="65"/>
      <c r="AT3491" s="65"/>
    </row>
    <row r="3492" spans="45:46" x14ac:dyDescent="0.25">
      <c r="AS3492" s="65"/>
      <c r="AT3492" s="65"/>
    </row>
    <row r="3493" spans="45:46" x14ac:dyDescent="0.25">
      <c r="AS3493" s="65"/>
      <c r="AT3493" s="65"/>
    </row>
    <row r="3494" spans="45:46" x14ac:dyDescent="0.25">
      <c r="AS3494" s="65"/>
      <c r="AT3494" s="65"/>
    </row>
    <row r="3495" spans="45:46" x14ac:dyDescent="0.25">
      <c r="AS3495" s="65"/>
      <c r="AT3495" s="65"/>
    </row>
    <row r="3496" spans="45:46" x14ac:dyDescent="0.25">
      <c r="AS3496" s="65"/>
      <c r="AT3496" s="65"/>
    </row>
    <row r="3497" spans="45:46" x14ac:dyDescent="0.25">
      <c r="AS3497" s="65"/>
      <c r="AT3497" s="65"/>
    </row>
    <row r="3498" spans="45:46" x14ac:dyDescent="0.25">
      <c r="AS3498" s="65"/>
      <c r="AT3498" s="65"/>
    </row>
    <row r="3499" spans="45:46" x14ac:dyDescent="0.25">
      <c r="AS3499" s="65"/>
      <c r="AT3499" s="65"/>
    </row>
    <row r="3500" spans="45:46" x14ac:dyDescent="0.25">
      <c r="AS3500" s="65"/>
      <c r="AT3500" s="65"/>
    </row>
    <row r="3501" spans="45:46" x14ac:dyDescent="0.25">
      <c r="AS3501" s="65"/>
      <c r="AT3501" s="65"/>
    </row>
    <row r="3502" spans="45:46" x14ac:dyDescent="0.25">
      <c r="AS3502" s="65"/>
      <c r="AT3502" s="65"/>
    </row>
    <row r="3503" spans="45:46" x14ac:dyDescent="0.25">
      <c r="AS3503" s="65"/>
      <c r="AT3503" s="65"/>
    </row>
    <row r="3504" spans="45:46" x14ac:dyDescent="0.25">
      <c r="AS3504" s="65"/>
      <c r="AT3504" s="65"/>
    </row>
    <row r="3505" spans="45:46" x14ac:dyDescent="0.25">
      <c r="AS3505" s="65"/>
      <c r="AT3505" s="65"/>
    </row>
    <row r="3506" spans="45:46" x14ac:dyDescent="0.25">
      <c r="AS3506" s="65"/>
      <c r="AT3506" s="65"/>
    </row>
    <row r="3507" spans="45:46" x14ac:dyDescent="0.25">
      <c r="AS3507" s="65"/>
      <c r="AT3507" s="65"/>
    </row>
    <row r="3508" spans="45:46" x14ac:dyDescent="0.25">
      <c r="AS3508" s="65"/>
      <c r="AT3508" s="65"/>
    </row>
    <row r="3509" spans="45:46" x14ac:dyDescent="0.25">
      <c r="AS3509" s="65"/>
      <c r="AT3509" s="65"/>
    </row>
    <row r="3510" spans="45:46" x14ac:dyDescent="0.25">
      <c r="AS3510" s="65"/>
      <c r="AT3510" s="65"/>
    </row>
    <row r="3511" spans="45:46" x14ac:dyDescent="0.25">
      <c r="AS3511" s="65"/>
      <c r="AT3511" s="65"/>
    </row>
    <row r="3512" spans="45:46" x14ac:dyDescent="0.25">
      <c r="AS3512" s="65"/>
      <c r="AT3512" s="65"/>
    </row>
    <row r="3513" spans="45:46" x14ac:dyDescent="0.25">
      <c r="AS3513" s="65"/>
      <c r="AT3513" s="65"/>
    </row>
    <row r="3514" spans="45:46" x14ac:dyDescent="0.25">
      <c r="AS3514" s="65"/>
      <c r="AT3514" s="65"/>
    </row>
    <row r="3515" spans="45:46" x14ac:dyDescent="0.25">
      <c r="AS3515" s="65"/>
      <c r="AT3515" s="65"/>
    </row>
    <row r="3516" spans="45:46" x14ac:dyDescent="0.25">
      <c r="AS3516" s="65"/>
      <c r="AT3516" s="65"/>
    </row>
    <row r="3517" spans="45:46" x14ac:dyDescent="0.25">
      <c r="AS3517" s="65"/>
      <c r="AT3517" s="65"/>
    </row>
    <row r="3518" spans="45:46" x14ac:dyDescent="0.25">
      <c r="AS3518" s="65"/>
      <c r="AT3518" s="65"/>
    </row>
    <row r="3519" spans="45:46" x14ac:dyDescent="0.25">
      <c r="AS3519" s="65"/>
      <c r="AT3519" s="65"/>
    </row>
    <row r="3520" spans="45:46" x14ac:dyDescent="0.25">
      <c r="AS3520" s="65"/>
      <c r="AT3520" s="65"/>
    </row>
    <row r="3521" spans="45:46" x14ac:dyDescent="0.25">
      <c r="AS3521" s="65"/>
      <c r="AT3521" s="65"/>
    </row>
    <row r="3522" spans="45:46" x14ac:dyDescent="0.25">
      <c r="AS3522" s="65"/>
      <c r="AT3522" s="65"/>
    </row>
    <row r="3523" spans="45:46" x14ac:dyDescent="0.25">
      <c r="AS3523" s="65"/>
      <c r="AT3523" s="65"/>
    </row>
    <row r="3524" spans="45:46" x14ac:dyDescent="0.25">
      <c r="AS3524" s="65"/>
      <c r="AT3524" s="65"/>
    </row>
    <row r="3525" spans="45:46" x14ac:dyDescent="0.25">
      <c r="AS3525" s="65"/>
      <c r="AT3525" s="65"/>
    </row>
    <row r="3526" spans="45:46" x14ac:dyDescent="0.25">
      <c r="AS3526" s="65"/>
      <c r="AT3526" s="65"/>
    </row>
    <row r="3527" spans="45:46" x14ac:dyDescent="0.25">
      <c r="AS3527" s="65"/>
      <c r="AT3527" s="65"/>
    </row>
    <row r="3528" spans="45:46" x14ac:dyDescent="0.25">
      <c r="AS3528" s="65"/>
      <c r="AT3528" s="65"/>
    </row>
    <row r="3529" spans="45:46" x14ac:dyDescent="0.25">
      <c r="AS3529" s="65"/>
      <c r="AT3529" s="65"/>
    </row>
    <row r="3530" spans="45:46" x14ac:dyDescent="0.25">
      <c r="AS3530" s="65"/>
      <c r="AT3530" s="65"/>
    </row>
    <row r="3531" spans="45:46" x14ac:dyDescent="0.25">
      <c r="AS3531" s="65"/>
      <c r="AT3531" s="65"/>
    </row>
    <row r="3532" spans="45:46" x14ac:dyDescent="0.25">
      <c r="AS3532" s="65"/>
      <c r="AT3532" s="65"/>
    </row>
    <row r="3533" spans="45:46" x14ac:dyDescent="0.25">
      <c r="AS3533" s="65"/>
      <c r="AT3533" s="65"/>
    </row>
    <row r="3534" spans="45:46" x14ac:dyDescent="0.25">
      <c r="AS3534" s="65"/>
      <c r="AT3534" s="65"/>
    </row>
    <row r="3535" spans="45:46" x14ac:dyDescent="0.25">
      <c r="AS3535" s="65"/>
      <c r="AT3535" s="65"/>
    </row>
    <row r="3536" spans="45:46" x14ac:dyDescent="0.25">
      <c r="AS3536" s="65"/>
      <c r="AT3536" s="65"/>
    </row>
    <row r="3537" spans="45:46" x14ac:dyDescent="0.25">
      <c r="AS3537" s="65"/>
      <c r="AT3537" s="65"/>
    </row>
    <row r="3538" spans="45:46" x14ac:dyDescent="0.25">
      <c r="AS3538" s="65"/>
      <c r="AT3538" s="65"/>
    </row>
    <row r="3539" spans="45:46" x14ac:dyDescent="0.25">
      <c r="AS3539" s="65"/>
      <c r="AT3539" s="65"/>
    </row>
    <row r="3540" spans="45:46" x14ac:dyDescent="0.25">
      <c r="AS3540" s="65"/>
      <c r="AT3540" s="65"/>
    </row>
    <row r="3541" spans="45:46" x14ac:dyDescent="0.25">
      <c r="AS3541" s="65"/>
      <c r="AT3541" s="65"/>
    </row>
    <row r="3542" spans="45:46" x14ac:dyDescent="0.25">
      <c r="AS3542" s="65"/>
      <c r="AT3542" s="65"/>
    </row>
    <row r="3543" spans="45:46" x14ac:dyDescent="0.25">
      <c r="AS3543" s="65"/>
      <c r="AT3543" s="65"/>
    </row>
    <row r="3544" spans="45:46" x14ac:dyDescent="0.25">
      <c r="AS3544" s="65"/>
      <c r="AT3544" s="65"/>
    </row>
    <row r="3545" spans="45:46" x14ac:dyDescent="0.25">
      <c r="AS3545" s="65"/>
      <c r="AT3545" s="65"/>
    </row>
    <row r="3546" spans="45:46" x14ac:dyDescent="0.25">
      <c r="AS3546" s="65"/>
      <c r="AT3546" s="65"/>
    </row>
    <row r="3547" spans="45:46" x14ac:dyDescent="0.25">
      <c r="AS3547" s="65"/>
      <c r="AT3547" s="65"/>
    </row>
    <row r="3548" spans="45:46" x14ac:dyDescent="0.25">
      <c r="AS3548" s="65"/>
      <c r="AT3548" s="65"/>
    </row>
    <row r="3549" spans="45:46" x14ac:dyDescent="0.25">
      <c r="AS3549" s="65"/>
      <c r="AT3549" s="65"/>
    </row>
    <row r="3550" spans="45:46" x14ac:dyDescent="0.25">
      <c r="AS3550" s="65"/>
      <c r="AT3550" s="65"/>
    </row>
    <row r="3551" spans="45:46" x14ac:dyDescent="0.25">
      <c r="AS3551" s="65"/>
      <c r="AT3551" s="65"/>
    </row>
    <row r="3552" spans="45:46" x14ac:dyDescent="0.25">
      <c r="AS3552" s="65"/>
      <c r="AT3552" s="65"/>
    </row>
    <row r="3553" spans="45:46" x14ac:dyDescent="0.25">
      <c r="AS3553" s="65"/>
      <c r="AT3553" s="65"/>
    </row>
    <row r="3554" spans="45:46" x14ac:dyDescent="0.25">
      <c r="AS3554" s="65"/>
      <c r="AT3554" s="65"/>
    </row>
    <row r="3555" spans="45:46" x14ac:dyDescent="0.25">
      <c r="AS3555" s="65"/>
      <c r="AT3555" s="65"/>
    </row>
    <row r="3556" spans="45:46" x14ac:dyDescent="0.25">
      <c r="AS3556" s="65"/>
      <c r="AT3556" s="65"/>
    </row>
    <row r="3557" spans="45:46" x14ac:dyDescent="0.25">
      <c r="AS3557" s="65"/>
      <c r="AT3557" s="65"/>
    </row>
    <row r="3558" spans="45:46" x14ac:dyDescent="0.25">
      <c r="AS3558" s="65"/>
      <c r="AT3558" s="65"/>
    </row>
    <row r="3559" spans="45:46" x14ac:dyDescent="0.25">
      <c r="AS3559" s="65"/>
      <c r="AT3559" s="65"/>
    </row>
    <row r="3560" spans="45:46" x14ac:dyDescent="0.25">
      <c r="AS3560" s="65"/>
      <c r="AT3560" s="65"/>
    </row>
    <row r="3561" spans="45:46" x14ac:dyDescent="0.25">
      <c r="AS3561" s="65"/>
      <c r="AT3561" s="65"/>
    </row>
    <row r="3562" spans="45:46" x14ac:dyDescent="0.25">
      <c r="AS3562" s="65"/>
      <c r="AT3562" s="65"/>
    </row>
    <row r="3563" spans="45:46" x14ac:dyDescent="0.25">
      <c r="AS3563" s="65"/>
      <c r="AT3563" s="65"/>
    </row>
    <row r="3564" spans="45:46" x14ac:dyDescent="0.25">
      <c r="AS3564" s="65"/>
      <c r="AT3564" s="65"/>
    </row>
    <row r="3565" spans="45:46" x14ac:dyDescent="0.25">
      <c r="AS3565" s="65"/>
      <c r="AT3565" s="65"/>
    </row>
    <row r="3566" spans="45:46" x14ac:dyDescent="0.25">
      <c r="AS3566" s="65"/>
      <c r="AT3566" s="65"/>
    </row>
    <row r="3567" spans="45:46" x14ac:dyDescent="0.25">
      <c r="AS3567" s="65"/>
      <c r="AT3567" s="65"/>
    </row>
    <row r="3568" spans="45:46" x14ac:dyDescent="0.25">
      <c r="AS3568" s="65"/>
      <c r="AT3568" s="65"/>
    </row>
    <row r="3569" spans="45:46" x14ac:dyDescent="0.25">
      <c r="AS3569" s="65"/>
      <c r="AT3569" s="65"/>
    </row>
    <row r="3570" spans="45:46" x14ac:dyDescent="0.25">
      <c r="AS3570" s="65"/>
      <c r="AT3570" s="65"/>
    </row>
    <row r="3571" spans="45:46" x14ac:dyDescent="0.25">
      <c r="AS3571" s="65"/>
      <c r="AT3571" s="65"/>
    </row>
    <row r="3572" spans="45:46" x14ac:dyDescent="0.25">
      <c r="AS3572" s="65"/>
      <c r="AT3572" s="65"/>
    </row>
    <row r="3573" spans="45:46" x14ac:dyDescent="0.25">
      <c r="AS3573" s="65"/>
      <c r="AT3573" s="65"/>
    </row>
    <row r="3574" spans="45:46" x14ac:dyDescent="0.25">
      <c r="AS3574" s="65"/>
      <c r="AT3574" s="65"/>
    </row>
    <row r="3575" spans="45:46" x14ac:dyDescent="0.25">
      <c r="AS3575" s="65"/>
      <c r="AT3575" s="65"/>
    </row>
    <row r="3576" spans="45:46" x14ac:dyDescent="0.25">
      <c r="AS3576" s="65"/>
      <c r="AT3576" s="65"/>
    </row>
    <row r="3577" spans="45:46" x14ac:dyDescent="0.25">
      <c r="AS3577" s="65"/>
      <c r="AT3577" s="65"/>
    </row>
    <row r="3578" spans="45:46" x14ac:dyDescent="0.25">
      <c r="AS3578" s="65"/>
      <c r="AT3578" s="65"/>
    </row>
    <row r="3579" spans="45:46" x14ac:dyDescent="0.25">
      <c r="AS3579" s="65"/>
      <c r="AT3579" s="65"/>
    </row>
    <row r="3580" spans="45:46" x14ac:dyDescent="0.25">
      <c r="AS3580" s="65"/>
      <c r="AT3580" s="65"/>
    </row>
    <row r="3581" spans="45:46" x14ac:dyDescent="0.25">
      <c r="AS3581" s="65"/>
      <c r="AT3581" s="65"/>
    </row>
    <row r="3582" spans="45:46" x14ac:dyDescent="0.25">
      <c r="AS3582" s="65"/>
      <c r="AT3582" s="65"/>
    </row>
    <row r="3583" spans="45:46" x14ac:dyDescent="0.25">
      <c r="AS3583" s="65"/>
      <c r="AT3583" s="65"/>
    </row>
    <row r="3584" spans="45:46" x14ac:dyDescent="0.25">
      <c r="AS3584" s="65"/>
      <c r="AT3584" s="65"/>
    </row>
    <row r="3585" spans="45:46" x14ac:dyDescent="0.25">
      <c r="AS3585" s="65"/>
      <c r="AT3585" s="65"/>
    </row>
    <row r="3586" spans="45:46" x14ac:dyDescent="0.25">
      <c r="AS3586" s="65"/>
      <c r="AT3586" s="65"/>
    </row>
    <row r="3587" spans="45:46" x14ac:dyDescent="0.25">
      <c r="AS3587" s="65"/>
      <c r="AT3587" s="65"/>
    </row>
    <row r="3588" spans="45:46" x14ac:dyDescent="0.25">
      <c r="AS3588" s="65"/>
      <c r="AT3588" s="65"/>
    </row>
    <row r="3589" spans="45:46" x14ac:dyDescent="0.25">
      <c r="AS3589" s="65"/>
      <c r="AT3589" s="65"/>
    </row>
    <row r="3590" spans="45:46" x14ac:dyDescent="0.25">
      <c r="AS3590" s="65"/>
      <c r="AT3590" s="65"/>
    </row>
    <row r="3591" spans="45:46" x14ac:dyDescent="0.25">
      <c r="AS3591" s="65"/>
      <c r="AT3591" s="65"/>
    </row>
    <row r="3592" spans="45:46" x14ac:dyDescent="0.25">
      <c r="AS3592" s="65"/>
      <c r="AT3592" s="65"/>
    </row>
    <row r="3593" spans="45:46" x14ac:dyDescent="0.25">
      <c r="AS3593" s="65"/>
      <c r="AT3593" s="65"/>
    </row>
    <row r="3594" spans="45:46" x14ac:dyDescent="0.25">
      <c r="AS3594" s="65"/>
      <c r="AT3594" s="65"/>
    </row>
    <row r="3595" spans="45:46" x14ac:dyDescent="0.25">
      <c r="AS3595" s="65"/>
      <c r="AT3595" s="65"/>
    </row>
    <row r="3596" spans="45:46" x14ac:dyDescent="0.25">
      <c r="AS3596" s="65"/>
      <c r="AT3596" s="65"/>
    </row>
    <row r="3597" spans="45:46" x14ac:dyDescent="0.25">
      <c r="AS3597" s="65"/>
      <c r="AT3597" s="65"/>
    </row>
    <row r="3598" spans="45:46" x14ac:dyDescent="0.25">
      <c r="AS3598" s="65"/>
      <c r="AT3598" s="65"/>
    </row>
    <row r="3599" spans="45:46" x14ac:dyDescent="0.25">
      <c r="AS3599" s="65"/>
      <c r="AT3599" s="65"/>
    </row>
    <row r="3600" spans="45:46" x14ac:dyDescent="0.25">
      <c r="AS3600" s="65"/>
      <c r="AT3600" s="65"/>
    </row>
    <row r="3601" spans="45:46" x14ac:dyDescent="0.25">
      <c r="AS3601" s="65"/>
      <c r="AT3601" s="65"/>
    </row>
    <row r="3602" spans="45:46" x14ac:dyDescent="0.25">
      <c r="AS3602" s="65"/>
      <c r="AT3602" s="65"/>
    </row>
    <row r="3603" spans="45:46" x14ac:dyDescent="0.25">
      <c r="AS3603" s="65"/>
      <c r="AT3603" s="65"/>
    </row>
    <row r="3604" spans="45:46" x14ac:dyDescent="0.25">
      <c r="AS3604" s="65"/>
      <c r="AT3604" s="65"/>
    </row>
    <row r="3605" spans="45:46" x14ac:dyDescent="0.25">
      <c r="AS3605" s="65"/>
      <c r="AT3605" s="65"/>
    </row>
    <row r="3606" spans="45:46" x14ac:dyDescent="0.25">
      <c r="AS3606" s="65"/>
      <c r="AT3606" s="65"/>
    </row>
    <row r="3607" spans="45:46" x14ac:dyDescent="0.25">
      <c r="AS3607" s="65"/>
      <c r="AT3607" s="65"/>
    </row>
    <row r="3608" spans="45:46" x14ac:dyDescent="0.25">
      <c r="AS3608" s="65"/>
      <c r="AT3608" s="65"/>
    </row>
    <row r="3609" spans="45:46" x14ac:dyDescent="0.25">
      <c r="AS3609" s="65"/>
      <c r="AT3609" s="65"/>
    </row>
    <row r="3610" spans="45:46" x14ac:dyDescent="0.25">
      <c r="AS3610" s="65"/>
      <c r="AT3610" s="65"/>
    </row>
    <row r="3611" spans="45:46" x14ac:dyDescent="0.25">
      <c r="AS3611" s="65"/>
      <c r="AT3611" s="65"/>
    </row>
    <row r="3612" spans="45:46" x14ac:dyDescent="0.25">
      <c r="AS3612" s="65"/>
      <c r="AT3612" s="65"/>
    </row>
    <row r="3613" spans="45:46" x14ac:dyDescent="0.25">
      <c r="AS3613" s="65"/>
      <c r="AT3613" s="65"/>
    </row>
    <row r="3614" spans="45:46" x14ac:dyDescent="0.25">
      <c r="AS3614" s="65"/>
      <c r="AT3614" s="65"/>
    </row>
    <row r="3615" spans="45:46" x14ac:dyDescent="0.25">
      <c r="AS3615" s="65"/>
      <c r="AT3615" s="65"/>
    </row>
    <row r="3616" spans="45:46" x14ac:dyDescent="0.25">
      <c r="AS3616" s="65"/>
      <c r="AT3616" s="65"/>
    </row>
    <row r="3617" spans="45:46" x14ac:dyDescent="0.25">
      <c r="AS3617" s="65"/>
      <c r="AT3617" s="65"/>
    </row>
    <row r="3618" spans="45:46" x14ac:dyDescent="0.25">
      <c r="AS3618" s="65"/>
      <c r="AT3618" s="65"/>
    </row>
    <row r="3619" spans="45:46" x14ac:dyDescent="0.25">
      <c r="AS3619" s="65"/>
      <c r="AT3619" s="65"/>
    </row>
    <row r="3620" spans="45:46" x14ac:dyDescent="0.25">
      <c r="AS3620" s="65"/>
      <c r="AT3620" s="65"/>
    </row>
    <row r="3621" spans="45:46" x14ac:dyDescent="0.25">
      <c r="AS3621" s="65"/>
      <c r="AT3621" s="65"/>
    </row>
    <row r="3622" spans="45:46" x14ac:dyDescent="0.25">
      <c r="AS3622" s="65"/>
      <c r="AT3622" s="65"/>
    </row>
    <row r="3623" spans="45:46" x14ac:dyDescent="0.25">
      <c r="AS3623" s="65"/>
      <c r="AT3623" s="65"/>
    </row>
    <row r="3624" spans="45:46" x14ac:dyDescent="0.25">
      <c r="AS3624" s="65"/>
      <c r="AT3624" s="65"/>
    </row>
    <row r="3625" spans="45:46" x14ac:dyDescent="0.25">
      <c r="AS3625" s="65"/>
      <c r="AT3625" s="65"/>
    </row>
    <row r="3626" spans="45:46" x14ac:dyDescent="0.25">
      <c r="AS3626" s="65"/>
      <c r="AT3626" s="65"/>
    </row>
    <row r="3627" spans="45:46" x14ac:dyDescent="0.25">
      <c r="AS3627" s="65"/>
      <c r="AT3627" s="65"/>
    </row>
    <row r="3628" spans="45:46" x14ac:dyDescent="0.25">
      <c r="AS3628" s="65"/>
      <c r="AT3628" s="65"/>
    </row>
    <row r="3629" spans="45:46" x14ac:dyDescent="0.25">
      <c r="AS3629" s="65"/>
      <c r="AT3629" s="65"/>
    </row>
    <row r="3630" spans="45:46" x14ac:dyDescent="0.25">
      <c r="AS3630" s="65"/>
      <c r="AT3630" s="65"/>
    </row>
    <row r="3631" spans="45:46" x14ac:dyDescent="0.25">
      <c r="AS3631" s="65"/>
      <c r="AT3631" s="65"/>
    </row>
    <row r="3632" spans="45:46" x14ac:dyDescent="0.25">
      <c r="AS3632" s="65"/>
      <c r="AT3632" s="65"/>
    </row>
    <row r="3633" spans="45:46" x14ac:dyDescent="0.25">
      <c r="AS3633" s="65"/>
      <c r="AT3633" s="65"/>
    </row>
    <row r="3634" spans="45:46" x14ac:dyDescent="0.25">
      <c r="AS3634" s="65"/>
      <c r="AT3634" s="65"/>
    </row>
    <row r="3635" spans="45:46" x14ac:dyDescent="0.25">
      <c r="AS3635" s="65"/>
      <c r="AT3635" s="65"/>
    </row>
    <row r="3636" spans="45:46" x14ac:dyDescent="0.25">
      <c r="AS3636" s="65"/>
      <c r="AT3636" s="65"/>
    </row>
    <row r="3637" spans="45:46" x14ac:dyDescent="0.25">
      <c r="AS3637" s="65"/>
      <c r="AT3637" s="65"/>
    </row>
    <row r="3638" spans="45:46" x14ac:dyDescent="0.25">
      <c r="AS3638" s="65"/>
      <c r="AT3638" s="65"/>
    </row>
    <row r="3639" spans="45:46" x14ac:dyDescent="0.25">
      <c r="AS3639" s="65"/>
      <c r="AT3639" s="65"/>
    </row>
    <row r="3640" spans="45:46" x14ac:dyDescent="0.25">
      <c r="AS3640" s="65"/>
      <c r="AT3640" s="65"/>
    </row>
    <row r="3641" spans="45:46" x14ac:dyDescent="0.25">
      <c r="AS3641" s="65"/>
      <c r="AT3641" s="65"/>
    </row>
    <row r="3642" spans="45:46" x14ac:dyDescent="0.25">
      <c r="AS3642" s="65"/>
      <c r="AT3642" s="65"/>
    </row>
    <row r="3643" spans="45:46" x14ac:dyDescent="0.25">
      <c r="AS3643" s="65"/>
      <c r="AT3643" s="65"/>
    </row>
    <row r="3644" spans="45:46" x14ac:dyDescent="0.25">
      <c r="AS3644" s="65"/>
      <c r="AT3644" s="65"/>
    </row>
    <row r="3645" spans="45:46" x14ac:dyDescent="0.25">
      <c r="AS3645" s="65"/>
      <c r="AT3645" s="65"/>
    </row>
    <row r="3646" spans="45:46" x14ac:dyDescent="0.25">
      <c r="AS3646" s="65"/>
      <c r="AT3646" s="65"/>
    </row>
    <row r="3647" spans="45:46" x14ac:dyDescent="0.25">
      <c r="AS3647" s="65"/>
      <c r="AT3647" s="65"/>
    </row>
    <row r="3648" spans="45:46" x14ac:dyDescent="0.25">
      <c r="AS3648" s="65"/>
      <c r="AT3648" s="65"/>
    </row>
    <row r="3649" spans="45:46" x14ac:dyDescent="0.25">
      <c r="AS3649" s="65"/>
      <c r="AT3649" s="65"/>
    </row>
    <row r="3650" spans="45:46" x14ac:dyDescent="0.25">
      <c r="AS3650" s="65"/>
      <c r="AT3650" s="65"/>
    </row>
    <row r="3651" spans="45:46" x14ac:dyDescent="0.25">
      <c r="AS3651" s="65"/>
      <c r="AT3651" s="65"/>
    </row>
    <row r="3652" spans="45:46" x14ac:dyDescent="0.25">
      <c r="AS3652" s="65"/>
      <c r="AT3652" s="65"/>
    </row>
    <row r="3653" spans="45:46" x14ac:dyDescent="0.25">
      <c r="AS3653" s="65"/>
      <c r="AT3653" s="65"/>
    </row>
    <row r="3654" spans="45:46" x14ac:dyDescent="0.25">
      <c r="AS3654" s="65"/>
      <c r="AT3654" s="65"/>
    </row>
    <row r="3655" spans="45:46" x14ac:dyDescent="0.25">
      <c r="AS3655" s="65"/>
      <c r="AT3655" s="65"/>
    </row>
    <row r="3656" spans="45:46" x14ac:dyDescent="0.25">
      <c r="AS3656" s="65"/>
      <c r="AT3656" s="65"/>
    </row>
    <row r="3657" spans="45:46" x14ac:dyDescent="0.25">
      <c r="AS3657" s="65"/>
      <c r="AT3657" s="65"/>
    </row>
    <row r="3658" spans="45:46" x14ac:dyDescent="0.25">
      <c r="AS3658" s="65"/>
      <c r="AT3658" s="65"/>
    </row>
    <row r="3659" spans="45:46" x14ac:dyDescent="0.25">
      <c r="AS3659" s="65"/>
      <c r="AT3659" s="65"/>
    </row>
    <row r="3660" spans="45:46" x14ac:dyDescent="0.25">
      <c r="AS3660" s="65"/>
      <c r="AT3660" s="65"/>
    </row>
    <row r="3661" spans="45:46" x14ac:dyDescent="0.25">
      <c r="AS3661" s="65"/>
      <c r="AT3661" s="65"/>
    </row>
    <row r="3662" spans="45:46" x14ac:dyDescent="0.25">
      <c r="AS3662" s="65"/>
      <c r="AT3662" s="65"/>
    </row>
    <row r="3663" spans="45:46" x14ac:dyDescent="0.25">
      <c r="AS3663" s="65"/>
      <c r="AT3663" s="65"/>
    </row>
    <row r="3664" spans="45:46" x14ac:dyDescent="0.25">
      <c r="AS3664" s="65"/>
      <c r="AT3664" s="65"/>
    </row>
    <row r="3665" spans="45:46" x14ac:dyDescent="0.25">
      <c r="AS3665" s="65"/>
      <c r="AT3665" s="65"/>
    </row>
    <row r="3666" spans="45:46" x14ac:dyDescent="0.25">
      <c r="AS3666" s="65"/>
      <c r="AT3666" s="65"/>
    </row>
    <row r="3667" spans="45:46" x14ac:dyDescent="0.25">
      <c r="AS3667" s="65"/>
      <c r="AT3667" s="65"/>
    </row>
    <row r="3668" spans="45:46" x14ac:dyDescent="0.25">
      <c r="AS3668" s="65"/>
      <c r="AT3668" s="65"/>
    </row>
    <row r="3669" spans="45:46" x14ac:dyDescent="0.25">
      <c r="AS3669" s="65"/>
      <c r="AT3669" s="65"/>
    </row>
    <row r="3670" spans="45:46" x14ac:dyDescent="0.25">
      <c r="AS3670" s="65"/>
      <c r="AT3670" s="65"/>
    </row>
    <row r="3671" spans="45:46" x14ac:dyDescent="0.25">
      <c r="AS3671" s="65"/>
      <c r="AT3671" s="65"/>
    </row>
    <row r="3672" spans="45:46" x14ac:dyDescent="0.25">
      <c r="AS3672" s="65"/>
      <c r="AT3672" s="65"/>
    </row>
    <row r="3673" spans="45:46" x14ac:dyDescent="0.25">
      <c r="AS3673" s="65"/>
      <c r="AT3673" s="65"/>
    </row>
    <row r="3674" spans="45:46" x14ac:dyDescent="0.25">
      <c r="AS3674" s="65"/>
      <c r="AT3674" s="65"/>
    </row>
    <row r="3675" spans="45:46" x14ac:dyDescent="0.25">
      <c r="AS3675" s="65"/>
      <c r="AT3675" s="65"/>
    </row>
    <row r="3676" spans="45:46" x14ac:dyDescent="0.25">
      <c r="AS3676" s="65"/>
      <c r="AT3676" s="65"/>
    </row>
    <row r="3677" spans="45:46" x14ac:dyDescent="0.25">
      <c r="AS3677" s="65"/>
      <c r="AT3677" s="65"/>
    </row>
    <row r="3678" spans="45:46" x14ac:dyDescent="0.25">
      <c r="AS3678" s="65"/>
      <c r="AT3678" s="65"/>
    </row>
    <row r="3679" spans="45:46" x14ac:dyDescent="0.25">
      <c r="AS3679" s="65"/>
      <c r="AT3679" s="65"/>
    </row>
    <row r="3680" spans="45:46" x14ac:dyDescent="0.25">
      <c r="AS3680" s="65"/>
      <c r="AT3680" s="65"/>
    </row>
    <row r="3681" spans="45:46" x14ac:dyDescent="0.25">
      <c r="AS3681" s="65"/>
      <c r="AT3681" s="65"/>
    </row>
    <row r="3682" spans="45:46" x14ac:dyDescent="0.25">
      <c r="AS3682" s="65"/>
      <c r="AT3682" s="65"/>
    </row>
    <row r="3683" spans="45:46" x14ac:dyDescent="0.25">
      <c r="AS3683" s="65"/>
      <c r="AT3683" s="65"/>
    </row>
    <row r="3684" spans="45:46" x14ac:dyDescent="0.25">
      <c r="AS3684" s="65"/>
      <c r="AT3684" s="65"/>
    </row>
    <row r="3685" spans="45:46" x14ac:dyDescent="0.25">
      <c r="AS3685" s="65"/>
      <c r="AT3685" s="65"/>
    </row>
    <row r="3686" spans="45:46" x14ac:dyDescent="0.25">
      <c r="AS3686" s="65"/>
      <c r="AT3686" s="65"/>
    </row>
    <row r="3687" spans="45:46" x14ac:dyDescent="0.25">
      <c r="AS3687" s="65"/>
      <c r="AT3687" s="65"/>
    </row>
    <row r="3688" spans="45:46" x14ac:dyDescent="0.25">
      <c r="AS3688" s="65"/>
      <c r="AT3688" s="65"/>
    </row>
    <row r="3689" spans="45:46" x14ac:dyDescent="0.25">
      <c r="AS3689" s="65"/>
      <c r="AT3689" s="65"/>
    </row>
    <row r="3690" spans="45:46" x14ac:dyDescent="0.25">
      <c r="AS3690" s="65"/>
      <c r="AT3690" s="65"/>
    </row>
    <row r="3691" spans="45:46" x14ac:dyDescent="0.25">
      <c r="AS3691" s="65"/>
      <c r="AT3691" s="65"/>
    </row>
    <row r="3692" spans="45:46" x14ac:dyDescent="0.25">
      <c r="AS3692" s="65"/>
      <c r="AT3692" s="65"/>
    </row>
    <row r="3693" spans="45:46" x14ac:dyDescent="0.25">
      <c r="AS3693" s="65"/>
      <c r="AT3693" s="65"/>
    </row>
    <row r="3694" spans="45:46" x14ac:dyDescent="0.25">
      <c r="AS3694" s="65"/>
      <c r="AT3694" s="65"/>
    </row>
    <row r="3695" spans="45:46" x14ac:dyDescent="0.25">
      <c r="AS3695" s="65"/>
      <c r="AT3695" s="65"/>
    </row>
    <row r="3696" spans="45:46" x14ac:dyDescent="0.25">
      <c r="AS3696" s="65"/>
      <c r="AT3696" s="65"/>
    </row>
    <row r="3697" spans="45:46" x14ac:dyDescent="0.25">
      <c r="AS3697" s="65"/>
      <c r="AT3697" s="65"/>
    </row>
    <row r="3698" spans="45:46" x14ac:dyDescent="0.25">
      <c r="AS3698" s="65"/>
      <c r="AT3698" s="65"/>
    </row>
    <row r="3699" spans="45:46" x14ac:dyDescent="0.25">
      <c r="AS3699" s="65"/>
      <c r="AT3699" s="65"/>
    </row>
    <row r="3700" spans="45:46" x14ac:dyDescent="0.25">
      <c r="AS3700" s="65"/>
      <c r="AT3700" s="65"/>
    </row>
    <row r="3701" spans="45:46" x14ac:dyDescent="0.25">
      <c r="AS3701" s="65"/>
      <c r="AT3701" s="65"/>
    </row>
    <row r="3702" spans="45:46" x14ac:dyDescent="0.25">
      <c r="AS3702" s="65"/>
      <c r="AT3702" s="65"/>
    </row>
    <row r="3703" spans="45:46" x14ac:dyDescent="0.25">
      <c r="AS3703" s="65"/>
      <c r="AT3703" s="65"/>
    </row>
    <row r="3704" spans="45:46" x14ac:dyDescent="0.25">
      <c r="AS3704" s="65"/>
      <c r="AT3704" s="65"/>
    </row>
    <row r="3705" spans="45:46" x14ac:dyDescent="0.25">
      <c r="AS3705" s="65"/>
      <c r="AT3705" s="65"/>
    </row>
    <row r="3706" spans="45:46" x14ac:dyDescent="0.25">
      <c r="AS3706" s="65"/>
      <c r="AT3706" s="65"/>
    </row>
    <row r="3707" spans="45:46" x14ac:dyDescent="0.25">
      <c r="AS3707" s="65"/>
      <c r="AT3707" s="65"/>
    </row>
    <row r="3708" spans="45:46" x14ac:dyDescent="0.25">
      <c r="AS3708" s="65"/>
      <c r="AT3708" s="65"/>
    </row>
    <row r="3709" spans="45:46" x14ac:dyDescent="0.25">
      <c r="AS3709" s="65"/>
      <c r="AT3709" s="65"/>
    </row>
    <row r="3710" spans="45:46" x14ac:dyDescent="0.25">
      <c r="AS3710" s="65"/>
      <c r="AT3710" s="65"/>
    </row>
    <row r="3711" spans="45:46" x14ac:dyDescent="0.25">
      <c r="AS3711" s="65"/>
      <c r="AT3711" s="65"/>
    </row>
    <row r="3712" spans="45:46" x14ac:dyDescent="0.25">
      <c r="AS3712" s="65"/>
      <c r="AT3712" s="65"/>
    </row>
    <row r="3713" spans="45:46" x14ac:dyDescent="0.25">
      <c r="AS3713" s="65"/>
      <c r="AT3713" s="65"/>
    </row>
    <row r="3714" spans="45:46" x14ac:dyDescent="0.25">
      <c r="AS3714" s="65"/>
      <c r="AT3714" s="65"/>
    </row>
    <row r="3715" spans="45:46" x14ac:dyDescent="0.25">
      <c r="AS3715" s="65"/>
      <c r="AT3715" s="65"/>
    </row>
    <row r="3716" spans="45:46" x14ac:dyDescent="0.25">
      <c r="AS3716" s="65"/>
      <c r="AT3716" s="65"/>
    </row>
    <row r="3717" spans="45:46" x14ac:dyDescent="0.25">
      <c r="AS3717" s="65"/>
      <c r="AT3717" s="65"/>
    </row>
    <row r="3718" spans="45:46" x14ac:dyDescent="0.25">
      <c r="AS3718" s="65"/>
      <c r="AT3718" s="65"/>
    </row>
    <row r="3719" spans="45:46" x14ac:dyDescent="0.25">
      <c r="AS3719" s="65"/>
      <c r="AT3719" s="65"/>
    </row>
    <row r="3720" spans="45:46" x14ac:dyDescent="0.25">
      <c r="AS3720" s="65"/>
      <c r="AT3720" s="65"/>
    </row>
    <row r="3721" spans="45:46" x14ac:dyDescent="0.25">
      <c r="AS3721" s="65"/>
      <c r="AT3721" s="65"/>
    </row>
    <row r="3722" spans="45:46" x14ac:dyDescent="0.25">
      <c r="AS3722" s="65"/>
      <c r="AT3722" s="65"/>
    </row>
    <row r="3723" spans="45:46" x14ac:dyDescent="0.25">
      <c r="AS3723" s="65"/>
      <c r="AT3723" s="65"/>
    </row>
    <row r="3724" spans="45:46" x14ac:dyDescent="0.25">
      <c r="AS3724" s="65"/>
      <c r="AT3724" s="65"/>
    </row>
    <row r="3725" spans="45:46" x14ac:dyDescent="0.25">
      <c r="AS3725" s="65"/>
      <c r="AT3725" s="65"/>
    </row>
    <row r="3726" spans="45:46" x14ac:dyDescent="0.25">
      <c r="AS3726" s="65"/>
      <c r="AT3726" s="65"/>
    </row>
    <row r="3727" spans="45:46" x14ac:dyDescent="0.25">
      <c r="AS3727" s="65"/>
      <c r="AT3727" s="65"/>
    </row>
    <row r="3728" spans="45:46" x14ac:dyDescent="0.25">
      <c r="AS3728" s="65"/>
      <c r="AT3728" s="65"/>
    </row>
    <row r="3729" spans="45:46" x14ac:dyDescent="0.25">
      <c r="AS3729" s="65"/>
      <c r="AT3729" s="65"/>
    </row>
    <row r="3730" spans="45:46" x14ac:dyDescent="0.25">
      <c r="AS3730" s="65"/>
      <c r="AT3730" s="65"/>
    </row>
    <row r="3731" spans="45:46" x14ac:dyDescent="0.25">
      <c r="AS3731" s="65"/>
      <c r="AT3731" s="65"/>
    </row>
    <row r="3732" spans="45:46" x14ac:dyDescent="0.25">
      <c r="AS3732" s="65"/>
      <c r="AT3732" s="65"/>
    </row>
    <row r="3733" spans="45:46" x14ac:dyDescent="0.25">
      <c r="AS3733" s="65"/>
      <c r="AT3733" s="65"/>
    </row>
    <row r="3734" spans="45:46" x14ac:dyDescent="0.25">
      <c r="AS3734" s="65"/>
      <c r="AT3734" s="65"/>
    </row>
    <row r="3735" spans="45:46" x14ac:dyDescent="0.25">
      <c r="AS3735" s="65"/>
      <c r="AT3735" s="65"/>
    </row>
    <row r="3736" spans="45:46" x14ac:dyDescent="0.25">
      <c r="AS3736" s="65"/>
      <c r="AT3736" s="65"/>
    </row>
    <row r="3737" spans="45:46" x14ac:dyDescent="0.25">
      <c r="AS3737" s="65"/>
      <c r="AT3737" s="65"/>
    </row>
    <row r="3738" spans="45:46" x14ac:dyDescent="0.25">
      <c r="AS3738" s="65"/>
      <c r="AT3738" s="65"/>
    </row>
    <row r="3739" spans="45:46" x14ac:dyDescent="0.25">
      <c r="AS3739" s="65"/>
      <c r="AT3739" s="65"/>
    </row>
    <row r="3740" spans="45:46" x14ac:dyDescent="0.25">
      <c r="AS3740" s="65"/>
      <c r="AT3740" s="65"/>
    </row>
    <row r="3741" spans="45:46" x14ac:dyDescent="0.25">
      <c r="AS3741" s="65"/>
      <c r="AT3741" s="65"/>
    </row>
    <row r="3742" spans="45:46" x14ac:dyDescent="0.25">
      <c r="AS3742" s="65"/>
      <c r="AT3742" s="65"/>
    </row>
    <row r="3743" spans="45:46" x14ac:dyDescent="0.25">
      <c r="AS3743" s="65"/>
      <c r="AT3743" s="65"/>
    </row>
    <row r="3744" spans="45:46" x14ac:dyDescent="0.25">
      <c r="AS3744" s="65"/>
      <c r="AT3744" s="65"/>
    </row>
    <row r="3745" spans="45:46" x14ac:dyDescent="0.25">
      <c r="AS3745" s="65"/>
      <c r="AT3745" s="65"/>
    </row>
    <row r="3746" spans="45:46" x14ac:dyDescent="0.25">
      <c r="AS3746" s="65"/>
      <c r="AT3746" s="65"/>
    </row>
    <row r="3747" spans="45:46" x14ac:dyDescent="0.25">
      <c r="AS3747" s="65"/>
      <c r="AT3747" s="65"/>
    </row>
    <row r="3748" spans="45:46" x14ac:dyDescent="0.25">
      <c r="AS3748" s="65"/>
      <c r="AT3748" s="65"/>
    </row>
    <row r="3749" spans="45:46" x14ac:dyDescent="0.25">
      <c r="AS3749" s="65"/>
      <c r="AT3749" s="65"/>
    </row>
    <row r="3750" spans="45:46" x14ac:dyDescent="0.25">
      <c r="AS3750" s="65"/>
      <c r="AT3750" s="65"/>
    </row>
    <row r="3751" spans="45:46" x14ac:dyDescent="0.25">
      <c r="AS3751" s="65"/>
      <c r="AT3751" s="65"/>
    </row>
    <row r="3752" spans="45:46" x14ac:dyDescent="0.25">
      <c r="AS3752" s="65"/>
      <c r="AT3752" s="65"/>
    </row>
    <row r="3753" spans="45:46" x14ac:dyDescent="0.25">
      <c r="AS3753" s="65"/>
      <c r="AT3753" s="65"/>
    </row>
    <row r="3754" spans="45:46" x14ac:dyDescent="0.25">
      <c r="AS3754" s="65"/>
      <c r="AT3754" s="65"/>
    </row>
    <row r="3755" spans="45:46" x14ac:dyDescent="0.25">
      <c r="AS3755" s="65"/>
      <c r="AT3755" s="65"/>
    </row>
    <row r="3756" spans="45:46" x14ac:dyDescent="0.25">
      <c r="AS3756" s="65"/>
      <c r="AT3756" s="65"/>
    </row>
    <row r="3757" spans="45:46" x14ac:dyDescent="0.25">
      <c r="AS3757" s="65"/>
      <c r="AT3757" s="65"/>
    </row>
    <row r="3758" spans="45:46" x14ac:dyDescent="0.25">
      <c r="AS3758" s="65"/>
      <c r="AT3758" s="65"/>
    </row>
    <row r="3759" spans="45:46" x14ac:dyDescent="0.25">
      <c r="AS3759" s="65"/>
      <c r="AT3759" s="65"/>
    </row>
    <row r="3760" spans="45:46" x14ac:dyDescent="0.25">
      <c r="AS3760" s="65"/>
      <c r="AT3760" s="65"/>
    </row>
    <row r="3761" spans="45:46" x14ac:dyDescent="0.25">
      <c r="AS3761" s="65"/>
      <c r="AT3761" s="65"/>
    </row>
    <row r="3762" spans="45:46" x14ac:dyDescent="0.25">
      <c r="AS3762" s="65"/>
      <c r="AT3762" s="65"/>
    </row>
    <row r="3763" spans="45:46" x14ac:dyDescent="0.25">
      <c r="AS3763" s="65"/>
      <c r="AT3763" s="65"/>
    </row>
    <row r="3764" spans="45:46" x14ac:dyDescent="0.25">
      <c r="AS3764" s="65"/>
      <c r="AT3764" s="65"/>
    </row>
    <row r="3765" spans="45:46" x14ac:dyDescent="0.25">
      <c r="AS3765" s="65"/>
      <c r="AT3765" s="65"/>
    </row>
    <row r="3766" spans="45:46" x14ac:dyDescent="0.25">
      <c r="AS3766" s="65"/>
      <c r="AT3766" s="65"/>
    </row>
    <row r="3767" spans="45:46" x14ac:dyDescent="0.25">
      <c r="AS3767" s="65"/>
      <c r="AT3767" s="65"/>
    </row>
    <row r="3768" spans="45:46" x14ac:dyDescent="0.25">
      <c r="AS3768" s="65"/>
      <c r="AT3768" s="65"/>
    </row>
    <row r="3769" spans="45:46" x14ac:dyDescent="0.25">
      <c r="AS3769" s="65"/>
      <c r="AT3769" s="65"/>
    </row>
    <row r="3770" spans="45:46" x14ac:dyDescent="0.25">
      <c r="AS3770" s="65"/>
      <c r="AT3770" s="65"/>
    </row>
    <row r="3771" spans="45:46" x14ac:dyDescent="0.25">
      <c r="AS3771" s="65"/>
      <c r="AT3771" s="65"/>
    </row>
    <row r="3772" spans="45:46" x14ac:dyDescent="0.25">
      <c r="AS3772" s="65"/>
      <c r="AT3772" s="65"/>
    </row>
    <row r="3773" spans="45:46" x14ac:dyDescent="0.25">
      <c r="AS3773" s="65"/>
      <c r="AT3773" s="65"/>
    </row>
    <row r="3774" spans="45:46" x14ac:dyDescent="0.25">
      <c r="AS3774" s="65"/>
      <c r="AT3774" s="65"/>
    </row>
    <row r="3775" spans="45:46" x14ac:dyDescent="0.25">
      <c r="AS3775" s="65"/>
      <c r="AT3775" s="65"/>
    </row>
    <row r="3776" spans="45:46" x14ac:dyDescent="0.25">
      <c r="AS3776" s="65"/>
      <c r="AT3776" s="65"/>
    </row>
    <row r="3777" spans="45:46" x14ac:dyDescent="0.25">
      <c r="AS3777" s="65"/>
      <c r="AT3777" s="65"/>
    </row>
    <row r="3778" spans="45:46" x14ac:dyDescent="0.25">
      <c r="AS3778" s="65"/>
      <c r="AT3778" s="65"/>
    </row>
    <row r="3779" spans="45:46" x14ac:dyDescent="0.25">
      <c r="AS3779" s="65"/>
      <c r="AT3779" s="65"/>
    </row>
    <row r="3780" spans="45:46" x14ac:dyDescent="0.25">
      <c r="AS3780" s="65"/>
      <c r="AT3780" s="65"/>
    </row>
    <row r="3781" spans="45:46" x14ac:dyDescent="0.25">
      <c r="AS3781" s="65"/>
      <c r="AT3781" s="65"/>
    </row>
    <row r="3782" spans="45:46" x14ac:dyDescent="0.25">
      <c r="AS3782" s="65"/>
      <c r="AT3782" s="65"/>
    </row>
    <row r="3783" spans="45:46" x14ac:dyDescent="0.25">
      <c r="AS3783" s="65"/>
      <c r="AT3783" s="65"/>
    </row>
    <row r="3784" spans="45:46" x14ac:dyDescent="0.25">
      <c r="AS3784" s="65"/>
      <c r="AT3784" s="65"/>
    </row>
    <row r="3785" spans="45:46" x14ac:dyDescent="0.25">
      <c r="AS3785" s="65"/>
      <c r="AT3785" s="65"/>
    </row>
    <row r="3786" spans="45:46" x14ac:dyDescent="0.25">
      <c r="AS3786" s="65"/>
      <c r="AT3786" s="65"/>
    </row>
    <row r="3787" spans="45:46" x14ac:dyDescent="0.25">
      <c r="AS3787" s="65"/>
      <c r="AT3787" s="65"/>
    </row>
    <row r="3788" spans="45:46" x14ac:dyDescent="0.25">
      <c r="AS3788" s="65"/>
      <c r="AT3788" s="65"/>
    </row>
    <row r="3789" spans="45:46" x14ac:dyDescent="0.25">
      <c r="AS3789" s="65"/>
      <c r="AT3789" s="65"/>
    </row>
    <row r="3790" spans="45:46" x14ac:dyDescent="0.25">
      <c r="AS3790" s="65"/>
      <c r="AT3790" s="65"/>
    </row>
    <row r="3791" spans="45:46" x14ac:dyDescent="0.25">
      <c r="AS3791" s="65"/>
      <c r="AT3791" s="65"/>
    </row>
    <row r="3792" spans="45:46" x14ac:dyDescent="0.25">
      <c r="AS3792" s="65"/>
      <c r="AT3792" s="65"/>
    </row>
    <row r="3793" spans="45:46" x14ac:dyDescent="0.25">
      <c r="AS3793" s="65"/>
      <c r="AT3793" s="65"/>
    </row>
    <row r="3794" spans="45:46" x14ac:dyDescent="0.25">
      <c r="AS3794" s="65"/>
      <c r="AT3794" s="65"/>
    </row>
    <row r="3795" spans="45:46" x14ac:dyDescent="0.25">
      <c r="AS3795" s="65"/>
      <c r="AT3795" s="65"/>
    </row>
    <row r="3796" spans="45:46" x14ac:dyDescent="0.25">
      <c r="AS3796" s="65"/>
      <c r="AT3796" s="65"/>
    </row>
    <row r="3797" spans="45:46" x14ac:dyDescent="0.25">
      <c r="AS3797" s="65"/>
      <c r="AT3797" s="65"/>
    </row>
    <row r="3798" spans="45:46" x14ac:dyDescent="0.25">
      <c r="AS3798" s="65"/>
      <c r="AT3798" s="65"/>
    </row>
    <row r="3799" spans="45:46" x14ac:dyDescent="0.25">
      <c r="AS3799" s="65"/>
      <c r="AT3799" s="65"/>
    </row>
    <row r="3800" spans="45:46" x14ac:dyDescent="0.25">
      <c r="AS3800" s="65"/>
      <c r="AT3800" s="65"/>
    </row>
    <row r="3801" spans="45:46" x14ac:dyDescent="0.25">
      <c r="AS3801" s="65"/>
      <c r="AT3801" s="65"/>
    </row>
    <row r="3802" spans="45:46" x14ac:dyDescent="0.25">
      <c r="AS3802" s="65"/>
      <c r="AT3802" s="65"/>
    </row>
    <row r="3803" spans="45:46" x14ac:dyDescent="0.25">
      <c r="AS3803" s="65"/>
      <c r="AT3803" s="65"/>
    </row>
    <row r="3804" spans="45:46" x14ac:dyDescent="0.25">
      <c r="AS3804" s="65"/>
      <c r="AT3804" s="65"/>
    </row>
    <row r="3805" spans="45:46" x14ac:dyDescent="0.25">
      <c r="AS3805" s="65"/>
      <c r="AT3805" s="65"/>
    </row>
    <row r="3806" spans="45:46" x14ac:dyDescent="0.25">
      <c r="AS3806" s="65"/>
      <c r="AT3806" s="65"/>
    </row>
    <row r="3807" spans="45:46" x14ac:dyDescent="0.25">
      <c r="AS3807" s="65"/>
      <c r="AT3807" s="65"/>
    </row>
    <row r="3808" spans="45:46" x14ac:dyDescent="0.25">
      <c r="AS3808" s="65"/>
      <c r="AT3808" s="65"/>
    </row>
    <row r="3809" spans="45:46" x14ac:dyDescent="0.25">
      <c r="AS3809" s="65"/>
      <c r="AT3809" s="65"/>
    </row>
    <row r="3810" spans="45:46" x14ac:dyDescent="0.25">
      <c r="AS3810" s="65"/>
      <c r="AT3810" s="65"/>
    </row>
    <row r="3811" spans="45:46" x14ac:dyDescent="0.25">
      <c r="AS3811" s="65"/>
      <c r="AT3811" s="65"/>
    </row>
    <row r="3812" spans="45:46" x14ac:dyDescent="0.25">
      <c r="AS3812" s="65"/>
      <c r="AT3812" s="65"/>
    </row>
    <row r="3813" spans="45:46" x14ac:dyDescent="0.25">
      <c r="AS3813" s="65"/>
      <c r="AT3813" s="65"/>
    </row>
    <row r="3814" spans="45:46" x14ac:dyDescent="0.25">
      <c r="AS3814" s="65"/>
      <c r="AT3814" s="65"/>
    </row>
    <row r="3815" spans="45:46" x14ac:dyDescent="0.25">
      <c r="AS3815" s="65"/>
      <c r="AT3815" s="65"/>
    </row>
    <row r="3816" spans="45:46" x14ac:dyDescent="0.25">
      <c r="AS3816" s="65"/>
      <c r="AT3816" s="65"/>
    </row>
    <row r="3817" spans="45:46" x14ac:dyDescent="0.25">
      <c r="AS3817" s="65"/>
      <c r="AT3817" s="65"/>
    </row>
    <row r="3818" spans="45:46" x14ac:dyDescent="0.25">
      <c r="AS3818" s="65"/>
      <c r="AT3818" s="65"/>
    </row>
    <row r="3819" spans="45:46" x14ac:dyDescent="0.25">
      <c r="AS3819" s="65"/>
      <c r="AT3819" s="65"/>
    </row>
    <row r="3820" spans="45:46" x14ac:dyDescent="0.25">
      <c r="AS3820" s="65"/>
      <c r="AT3820" s="65"/>
    </row>
    <row r="3821" spans="45:46" x14ac:dyDescent="0.25">
      <c r="AS3821" s="65"/>
      <c r="AT3821" s="65"/>
    </row>
    <row r="3822" spans="45:46" x14ac:dyDescent="0.25">
      <c r="AS3822" s="65"/>
      <c r="AT3822" s="65"/>
    </row>
    <row r="3823" spans="45:46" x14ac:dyDescent="0.25">
      <c r="AS3823" s="65"/>
      <c r="AT3823" s="65"/>
    </row>
    <row r="3824" spans="45:46" x14ac:dyDescent="0.25">
      <c r="AS3824" s="65"/>
      <c r="AT3824" s="65"/>
    </row>
    <row r="3825" spans="45:46" x14ac:dyDescent="0.25">
      <c r="AS3825" s="65"/>
      <c r="AT3825" s="65"/>
    </row>
    <row r="3826" spans="45:46" x14ac:dyDescent="0.25">
      <c r="AS3826" s="65"/>
      <c r="AT3826" s="65"/>
    </row>
    <row r="3827" spans="45:46" x14ac:dyDescent="0.25">
      <c r="AS3827" s="65"/>
      <c r="AT3827" s="65"/>
    </row>
    <row r="3828" spans="45:46" x14ac:dyDescent="0.25">
      <c r="AS3828" s="65"/>
      <c r="AT3828" s="65"/>
    </row>
    <row r="3829" spans="45:46" x14ac:dyDescent="0.25">
      <c r="AS3829" s="65"/>
      <c r="AT3829" s="65"/>
    </row>
    <row r="3830" spans="45:46" x14ac:dyDescent="0.25">
      <c r="AS3830" s="65"/>
      <c r="AT3830" s="65"/>
    </row>
    <row r="3831" spans="45:46" x14ac:dyDescent="0.25">
      <c r="AS3831" s="65"/>
      <c r="AT3831" s="65"/>
    </row>
    <row r="3832" spans="45:46" x14ac:dyDescent="0.25">
      <c r="AS3832" s="65"/>
      <c r="AT3832" s="65"/>
    </row>
    <row r="3833" spans="45:46" x14ac:dyDescent="0.25">
      <c r="AS3833" s="65"/>
      <c r="AT3833" s="65"/>
    </row>
    <row r="3834" spans="45:46" x14ac:dyDescent="0.25">
      <c r="AS3834" s="65"/>
      <c r="AT3834" s="65"/>
    </row>
    <row r="3835" spans="45:46" x14ac:dyDescent="0.25">
      <c r="AS3835" s="65"/>
      <c r="AT3835" s="65"/>
    </row>
    <row r="3836" spans="45:46" x14ac:dyDescent="0.25">
      <c r="AS3836" s="65"/>
      <c r="AT3836" s="65"/>
    </row>
    <row r="3837" spans="45:46" x14ac:dyDescent="0.25">
      <c r="AS3837" s="65"/>
      <c r="AT3837" s="65"/>
    </row>
    <row r="3838" spans="45:46" x14ac:dyDescent="0.25">
      <c r="AS3838" s="65"/>
      <c r="AT3838" s="65"/>
    </row>
    <row r="3839" spans="45:46" x14ac:dyDescent="0.25">
      <c r="AS3839" s="65"/>
      <c r="AT3839" s="65"/>
    </row>
    <row r="3840" spans="45:46" x14ac:dyDescent="0.25">
      <c r="AS3840" s="65"/>
      <c r="AT3840" s="65"/>
    </row>
    <row r="3841" spans="45:46" x14ac:dyDescent="0.25">
      <c r="AS3841" s="65"/>
      <c r="AT3841" s="65"/>
    </row>
    <row r="3842" spans="45:46" x14ac:dyDescent="0.25">
      <c r="AS3842" s="65"/>
      <c r="AT3842" s="65"/>
    </row>
    <row r="3843" spans="45:46" x14ac:dyDescent="0.25">
      <c r="AS3843" s="65"/>
      <c r="AT3843" s="65"/>
    </row>
    <row r="3844" spans="45:46" x14ac:dyDescent="0.25">
      <c r="AS3844" s="65"/>
      <c r="AT3844" s="65"/>
    </row>
    <row r="3845" spans="45:46" x14ac:dyDescent="0.25">
      <c r="AS3845" s="65"/>
      <c r="AT3845" s="65"/>
    </row>
    <row r="3846" spans="45:46" x14ac:dyDescent="0.25">
      <c r="AS3846" s="65"/>
      <c r="AT3846" s="65"/>
    </row>
    <row r="3847" spans="45:46" x14ac:dyDescent="0.25">
      <c r="AS3847" s="65"/>
      <c r="AT3847" s="65"/>
    </row>
    <row r="3848" spans="45:46" x14ac:dyDescent="0.25">
      <c r="AS3848" s="65"/>
      <c r="AT3848" s="65"/>
    </row>
    <row r="3849" spans="45:46" x14ac:dyDescent="0.25">
      <c r="AS3849" s="65"/>
      <c r="AT3849" s="65"/>
    </row>
    <row r="3850" spans="45:46" x14ac:dyDescent="0.25">
      <c r="AS3850" s="65"/>
      <c r="AT3850" s="65"/>
    </row>
    <row r="3851" spans="45:46" x14ac:dyDescent="0.25">
      <c r="AS3851" s="65"/>
      <c r="AT3851" s="65"/>
    </row>
    <row r="3852" spans="45:46" x14ac:dyDescent="0.25">
      <c r="AS3852" s="65"/>
      <c r="AT3852" s="65"/>
    </row>
    <row r="3853" spans="45:46" x14ac:dyDescent="0.25">
      <c r="AS3853" s="65"/>
      <c r="AT3853" s="65"/>
    </row>
    <row r="3854" spans="45:46" x14ac:dyDescent="0.25">
      <c r="AS3854" s="65"/>
      <c r="AT3854" s="65"/>
    </row>
    <row r="3855" spans="45:46" x14ac:dyDescent="0.25">
      <c r="AS3855" s="65"/>
      <c r="AT3855" s="65"/>
    </row>
    <row r="3856" spans="45:46" x14ac:dyDescent="0.25">
      <c r="AS3856" s="65"/>
      <c r="AT3856" s="65"/>
    </row>
    <row r="3857" spans="45:46" x14ac:dyDescent="0.25">
      <c r="AS3857" s="65"/>
      <c r="AT3857" s="65"/>
    </row>
    <row r="3858" spans="45:46" x14ac:dyDescent="0.25">
      <c r="AS3858" s="65"/>
      <c r="AT3858" s="65"/>
    </row>
    <row r="3859" spans="45:46" x14ac:dyDescent="0.25">
      <c r="AS3859" s="65"/>
      <c r="AT3859" s="65"/>
    </row>
    <row r="3860" spans="45:46" x14ac:dyDescent="0.25">
      <c r="AS3860" s="65"/>
      <c r="AT3860" s="65"/>
    </row>
    <row r="3861" spans="45:46" x14ac:dyDescent="0.25">
      <c r="AS3861" s="65"/>
      <c r="AT3861" s="65"/>
    </row>
    <row r="3862" spans="45:46" x14ac:dyDescent="0.25">
      <c r="AS3862" s="65"/>
      <c r="AT3862" s="65"/>
    </row>
    <row r="3863" spans="45:46" x14ac:dyDescent="0.25">
      <c r="AS3863" s="65"/>
      <c r="AT3863" s="65"/>
    </row>
    <row r="3864" spans="45:46" x14ac:dyDescent="0.25">
      <c r="AS3864" s="65"/>
      <c r="AT3864" s="65"/>
    </row>
    <row r="3865" spans="45:46" x14ac:dyDescent="0.25">
      <c r="AS3865" s="65"/>
      <c r="AT3865" s="65"/>
    </row>
    <row r="3866" spans="45:46" x14ac:dyDescent="0.25">
      <c r="AS3866" s="65"/>
      <c r="AT3866" s="65"/>
    </row>
    <row r="3867" spans="45:46" x14ac:dyDescent="0.25">
      <c r="AS3867" s="65"/>
      <c r="AT3867" s="65"/>
    </row>
    <row r="3868" spans="45:46" x14ac:dyDescent="0.25">
      <c r="AS3868" s="65"/>
      <c r="AT3868" s="65"/>
    </row>
    <row r="3869" spans="45:46" x14ac:dyDescent="0.25">
      <c r="AS3869" s="65"/>
      <c r="AT3869" s="65"/>
    </row>
    <row r="3870" spans="45:46" x14ac:dyDescent="0.25">
      <c r="AS3870" s="65"/>
      <c r="AT3870" s="65"/>
    </row>
    <row r="3871" spans="45:46" x14ac:dyDescent="0.25">
      <c r="AS3871" s="65"/>
      <c r="AT3871" s="65"/>
    </row>
    <row r="3872" spans="45:46" x14ac:dyDescent="0.25">
      <c r="AS3872" s="65"/>
      <c r="AT3872" s="65"/>
    </row>
    <row r="3873" spans="45:46" x14ac:dyDescent="0.25">
      <c r="AS3873" s="65"/>
      <c r="AT3873" s="65"/>
    </row>
    <row r="3874" spans="45:46" x14ac:dyDescent="0.25">
      <c r="AS3874" s="65"/>
      <c r="AT3874" s="65"/>
    </row>
    <row r="3875" spans="45:46" x14ac:dyDescent="0.25">
      <c r="AS3875" s="65"/>
      <c r="AT3875" s="65"/>
    </row>
    <row r="3876" spans="45:46" x14ac:dyDescent="0.25">
      <c r="AS3876" s="65"/>
      <c r="AT3876" s="65"/>
    </row>
    <row r="3877" spans="45:46" x14ac:dyDescent="0.25">
      <c r="AS3877" s="65"/>
      <c r="AT3877" s="65"/>
    </row>
    <row r="3878" spans="45:46" x14ac:dyDescent="0.25">
      <c r="AS3878" s="65"/>
      <c r="AT3878" s="65"/>
    </row>
    <row r="3879" spans="45:46" x14ac:dyDescent="0.25">
      <c r="AS3879" s="65"/>
      <c r="AT3879" s="65"/>
    </row>
    <row r="3880" spans="45:46" x14ac:dyDescent="0.25">
      <c r="AS3880" s="65"/>
      <c r="AT3880" s="65"/>
    </row>
    <row r="3881" spans="45:46" x14ac:dyDescent="0.25">
      <c r="AS3881" s="65"/>
      <c r="AT3881" s="65"/>
    </row>
    <row r="3882" spans="45:46" x14ac:dyDescent="0.25">
      <c r="AS3882" s="65"/>
      <c r="AT3882" s="65"/>
    </row>
    <row r="3883" spans="45:46" x14ac:dyDescent="0.25">
      <c r="AS3883" s="65"/>
      <c r="AT3883" s="65"/>
    </row>
    <row r="3884" spans="45:46" x14ac:dyDescent="0.25">
      <c r="AS3884" s="65"/>
      <c r="AT3884" s="65"/>
    </row>
    <row r="3885" spans="45:46" x14ac:dyDescent="0.25">
      <c r="AS3885" s="65"/>
      <c r="AT3885" s="65"/>
    </row>
    <row r="3886" spans="45:46" x14ac:dyDescent="0.25">
      <c r="AS3886" s="65"/>
      <c r="AT3886" s="65"/>
    </row>
    <row r="3887" spans="45:46" x14ac:dyDescent="0.25">
      <c r="AS3887" s="65"/>
      <c r="AT3887" s="65"/>
    </row>
    <row r="3888" spans="45:46" x14ac:dyDescent="0.25">
      <c r="AS3888" s="65"/>
      <c r="AT3888" s="65"/>
    </row>
    <row r="3889" spans="45:46" x14ac:dyDescent="0.25">
      <c r="AS3889" s="65"/>
      <c r="AT3889" s="65"/>
    </row>
    <row r="3890" spans="45:46" x14ac:dyDescent="0.25">
      <c r="AS3890" s="65"/>
      <c r="AT3890" s="65"/>
    </row>
    <row r="3891" spans="45:46" x14ac:dyDescent="0.25">
      <c r="AS3891" s="65"/>
      <c r="AT3891" s="65"/>
    </row>
    <row r="3892" spans="45:46" x14ac:dyDescent="0.25">
      <c r="AS3892" s="65"/>
      <c r="AT3892" s="65"/>
    </row>
    <row r="3893" spans="45:46" x14ac:dyDescent="0.25">
      <c r="AS3893" s="65"/>
      <c r="AT3893" s="65"/>
    </row>
    <row r="3894" spans="45:46" x14ac:dyDescent="0.25">
      <c r="AS3894" s="65"/>
      <c r="AT3894" s="65"/>
    </row>
    <row r="3895" spans="45:46" x14ac:dyDescent="0.25">
      <c r="AS3895" s="65"/>
      <c r="AT3895" s="65"/>
    </row>
    <row r="3896" spans="45:46" x14ac:dyDescent="0.25">
      <c r="AS3896" s="65"/>
      <c r="AT3896" s="65"/>
    </row>
    <row r="3897" spans="45:46" x14ac:dyDescent="0.25">
      <c r="AS3897" s="65"/>
      <c r="AT3897" s="65"/>
    </row>
    <row r="3898" spans="45:46" x14ac:dyDescent="0.25">
      <c r="AS3898" s="65"/>
      <c r="AT3898" s="65"/>
    </row>
    <row r="3899" spans="45:46" x14ac:dyDescent="0.25">
      <c r="AS3899" s="65"/>
      <c r="AT3899" s="65"/>
    </row>
    <row r="3900" spans="45:46" x14ac:dyDescent="0.25">
      <c r="AS3900" s="65"/>
      <c r="AT3900" s="65"/>
    </row>
    <row r="3901" spans="45:46" x14ac:dyDescent="0.25">
      <c r="AS3901" s="65"/>
      <c r="AT3901" s="65"/>
    </row>
    <row r="3902" spans="45:46" x14ac:dyDescent="0.25">
      <c r="AS3902" s="65"/>
      <c r="AT3902" s="65"/>
    </row>
    <row r="3903" spans="45:46" x14ac:dyDescent="0.25">
      <c r="AS3903" s="65"/>
      <c r="AT3903" s="65"/>
    </row>
    <row r="3904" spans="45:46" x14ac:dyDescent="0.25">
      <c r="AS3904" s="65"/>
      <c r="AT3904" s="65"/>
    </row>
    <row r="3905" spans="45:46" x14ac:dyDescent="0.25">
      <c r="AS3905" s="65"/>
      <c r="AT3905" s="65"/>
    </row>
    <row r="3906" spans="45:46" x14ac:dyDescent="0.25">
      <c r="AS3906" s="65"/>
      <c r="AT3906" s="65"/>
    </row>
    <row r="3907" spans="45:46" x14ac:dyDescent="0.25">
      <c r="AS3907" s="65"/>
      <c r="AT3907" s="65"/>
    </row>
    <row r="3908" spans="45:46" x14ac:dyDescent="0.25">
      <c r="AS3908" s="65"/>
      <c r="AT3908" s="65"/>
    </row>
    <row r="3909" spans="45:46" x14ac:dyDescent="0.25">
      <c r="AS3909" s="65"/>
      <c r="AT3909" s="65"/>
    </row>
    <row r="3910" spans="45:46" x14ac:dyDescent="0.25">
      <c r="AS3910" s="65"/>
      <c r="AT3910" s="65"/>
    </row>
    <row r="3911" spans="45:46" x14ac:dyDescent="0.25">
      <c r="AS3911" s="65"/>
      <c r="AT3911" s="65"/>
    </row>
    <row r="3912" spans="45:46" x14ac:dyDescent="0.25">
      <c r="AS3912" s="65"/>
      <c r="AT3912" s="65"/>
    </row>
    <row r="3913" spans="45:46" x14ac:dyDescent="0.25">
      <c r="AS3913" s="65"/>
      <c r="AT3913" s="65"/>
    </row>
    <row r="3914" spans="45:46" x14ac:dyDescent="0.25">
      <c r="AS3914" s="65"/>
      <c r="AT3914" s="65"/>
    </row>
    <row r="3915" spans="45:46" x14ac:dyDescent="0.25">
      <c r="AS3915" s="65"/>
      <c r="AT3915" s="65"/>
    </row>
    <row r="3916" spans="45:46" x14ac:dyDescent="0.25">
      <c r="AS3916" s="65"/>
      <c r="AT3916" s="65"/>
    </row>
    <row r="3917" spans="45:46" x14ac:dyDescent="0.25">
      <c r="AS3917" s="65"/>
      <c r="AT3917" s="65"/>
    </row>
    <row r="3918" spans="45:46" x14ac:dyDescent="0.25">
      <c r="AS3918" s="65"/>
      <c r="AT3918" s="65"/>
    </row>
    <row r="3919" spans="45:46" x14ac:dyDescent="0.25">
      <c r="AS3919" s="65"/>
      <c r="AT3919" s="65"/>
    </row>
    <row r="3920" spans="45:46" x14ac:dyDescent="0.25">
      <c r="AS3920" s="65"/>
      <c r="AT3920" s="65"/>
    </row>
    <row r="3921" spans="45:46" x14ac:dyDescent="0.25">
      <c r="AS3921" s="65"/>
      <c r="AT3921" s="65"/>
    </row>
    <row r="3922" spans="45:46" x14ac:dyDescent="0.25">
      <c r="AS3922" s="65"/>
      <c r="AT3922" s="65"/>
    </row>
    <row r="3923" spans="45:46" x14ac:dyDescent="0.25">
      <c r="AS3923" s="65"/>
      <c r="AT3923" s="65"/>
    </row>
    <row r="3924" spans="45:46" x14ac:dyDescent="0.25">
      <c r="AS3924" s="65"/>
      <c r="AT3924" s="65"/>
    </row>
    <row r="3925" spans="45:46" x14ac:dyDescent="0.25">
      <c r="AS3925" s="65"/>
      <c r="AT3925" s="65"/>
    </row>
    <row r="3926" spans="45:46" x14ac:dyDescent="0.25">
      <c r="AS3926" s="65"/>
      <c r="AT3926" s="65"/>
    </row>
    <row r="3927" spans="45:46" x14ac:dyDescent="0.25">
      <c r="AS3927" s="65"/>
      <c r="AT3927" s="65"/>
    </row>
    <row r="3928" spans="45:46" x14ac:dyDescent="0.25">
      <c r="AS3928" s="65"/>
      <c r="AT3928" s="65"/>
    </row>
    <row r="3929" spans="45:46" x14ac:dyDescent="0.25">
      <c r="AS3929" s="65"/>
      <c r="AT3929" s="65"/>
    </row>
    <row r="3930" spans="45:46" x14ac:dyDescent="0.25">
      <c r="AS3930" s="65"/>
      <c r="AT3930" s="65"/>
    </row>
    <row r="3931" spans="45:46" x14ac:dyDescent="0.25">
      <c r="AS3931" s="65"/>
      <c r="AT3931" s="65"/>
    </row>
    <row r="3932" spans="45:46" x14ac:dyDescent="0.25">
      <c r="AS3932" s="65"/>
      <c r="AT3932" s="65"/>
    </row>
    <row r="3933" spans="45:46" x14ac:dyDescent="0.25">
      <c r="AS3933" s="65"/>
      <c r="AT3933" s="65"/>
    </row>
    <row r="3934" spans="45:46" x14ac:dyDescent="0.25">
      <c r="AS3934" s="65"/>
      <c r="AT3934" s="65"/>
    </row>
    <row r="3935" spans="45:46" x14ac:dyDescent="0.25">
      <c r="AS3935" s="65"/>
      <c r="AT3935" s="65"/>
    </row>
    <row r="3936" spans="45:46" x14ac:dyDescent="0.25">
      <c r="AS3936" s="65"/>
      <c r="AT3936" s="65"/>
    </row>
    <row r="3937" spans="45:46" x14ac:dyDescent="0.25">
      <c r="AS3937" s="65"/>
      <c r="AT3937" s="65"/>
    </row>
    <row r="3938" spans="45:46" x14ac:dyDescent="0.25">
      <c r="AS3938" s="65"/>
      <c r="AT3938" s="65"/>
    </row>
    <row r="3939" spans="45:46" x14ac:dyDescent="0.25">
      <c r="AS3939" s="65"/>
      <c r="AT3939" s="65"/>
    </row>
    <row r="3940" spans="45:46" x14ac:dyDescent="0.25">
      <c r="AS3940" s="65"/>
      <c r="AT3940" s="65"/>
    </row>
    <row r="3941" spans="45:46" x14ac:dyDescent="0.25">
      <c r="AS3941" s="65"/>
      <c r="AT3941" s="65"/>
    </row>
    <row r="3942" spans="45:46" x14ac:dyDescent="0.25">
      <c r="AS3942" s="65"/>
      <c r="AT3942" s="65"/>
    </row>
    <row r="3943" spans="45:46" x14ac:dyDescent="0.25">
      <c r="AS3943" s="65"/>
      <c r="AT3943" s="65"/>
    </row>
    <row r="3944" spans="45:46" x14ac:dyDescent="0.25">
      <c r="AS3944" s="65"/>
      <c r="AT3944" s="65"/>
    </row>
    <row r="3945" spans="45:46" x14ac:dyDescent="0.25">
      <c r="AS3945" s="65"/>
      <c r="AT3945" s="65"/>
    </row>
    <row r="3946" spans="45:46" x14ac:dyDescent="0.25">
      <c r="AS3946" s="65"/>
      <c r="AT3946" s="65"/>
    </row>
    <row r="3947" spans="45:46" x14ac:dyDescent="0.25">
      <c r="AS3947" s="65"/>
      <c r="AT3947" s="65"/>
    </row>
    <row r="3948" spans="45:46" x14ac:dyDescent="0.25">
      <c r="AS3948" s="65"/>
      <c r="AT3948" s="65"/>
    </row>
    <row r="3949" spans="45:46" x14ac:dyDescent="0.25">
      <c r="AS3949" s="65"/>
      <c r="AT3949" s="65"/>
    </row>
    <row r="3950" spans="45:46" x14ac:dyDescent="0.25">
      <c r="AS3950" s="65"/>
      <c r="AT3950" s="65"/>
    </row>
    <row r="3951" spans="45:46" x14ac:dyDescent="0.25">
      <c r="AS3951" s="65"/>
      <c r="AT3951" s="65"/>
    </row>
    <row r="3952" spans="45:46" x14ac:dyDescent="0.25">
      <c r="AS3952" s="65"/>
      <c r="AT3952" s="65"/>
    </row>
    <row r="3953" spans="45:46" x14ac:dyDescent="0.25">
      <c r="AS3953" s="65"/>
      <c r="AT3953" s="65"/>
    </row>
    <row r="3954" spans="45:46" x14ac:dyDescent="0.25">
      <c r="AS3954" s="65"/>
      <c r="AT3954" s="65"/>
    </row>
    <row r="3955" spans="45:46" x14ac:dyDescent="0.25">
      <c r="AS3955" s="65"/>
      <c r="AT3955" s="65"/>
    </row>
    <row r="3956" spans="45:46" x14ac:dyDescent="0.25">
      <c r="AS3956" s="65"/>
      <c r="AT3956" s="65"/>
    </row>
    <row r="3957" spans="45:46" x14ac:dyDescent="0.25">
      <c r="AS3957" s="65"/>
      <c r="AT3957" s="65"/>
    </row>
    <row r="3958" spans="45:46" x14ac:dyDescent="0.25">
      <c r="AS3958" s="65"/>
      <c r="AT3958" s="65"/>
    </row>
    <row r="3959" spans="45:46" x14ac:dyDescent="0.25">
      <c r="AS3959" s="65"/>
      <c r="AT3959" s="65"/>
    </row>
    <row r="3960" spans="45:46" x14ac:dyDescent="0.25">
      <c r="AS3960" s="65"/>
      <c r="AT3960" s="65"/>
    </row>
    <row r="3961" spans="45:46" x14ac:dyDescent="0.25">
      <c r="AS3961" s="65"/>
      <c r="AT3961" s="65"/>
    </row>
    <row r="3962" spans="45:46" x14ac:dyDescent="0.25">
      <c r="AS3962" s="65"/>
      <c r="AT3962" s="65"/>
    </row>
    <row r="3963" spans="45:46" x14ac:dyDescent="0.25">
      <c r="AS3963" s="65"/>
      <c r="AT3963" s="65"/>
    </row>
    <row r="3964" spans="45:46" x14ac:dyDescent="0.25">
      <c r="AS3964" s="65"/>
      <c r="AT3964" s="65"/>
    </row>
    <row r="3965" spans="45:46" x14ac:dyDescent="0.25">
      <c r="AS3965" s="65"/>
      <c r="AT3965" s="65"/>
    </row>
    <row r="3966" spans="45:46" x14ac:dyDescent="0.25">
      <c r="AS3966" s="65"/>
      <c r="AT3966" s="65"/>
    </row>
    <row r="3967" spans="45:46" x14ac:dyDescent="0.25">
      <c r="AS3967" s="65"/>
      <c r="AT3967" s="65"/>
    </row>
    <row r="3968" spans="45:46" x14ac:dyDescent="0.25">
      <c r="AS3968" s="65"/>
      <c r="AT3968" s="65"/>
    </row>
    <row r="3969" spans="45:46" x14ac:dyDescent="0.25">
      <c r="AS3969" s="65"/>
      <c r="AT3969" s="65"/>
    </row>
    <row r="3970" spans="45:46" x14ac:dyDescent="0.25">
      <c r="AS3970" s="65"/>
      <c r="AT3970" s="65"/>
    </row>
    <row r="3971" spans="45:46" x14ac:dyDescent="0.25">
      <c r="AS3971" s="65"/>
      <c r="AT3971" s="65"/>
    </row>
    <row r="3972" spans="45:46" x14ac:dyDescent="0.25">
      <c r="AS3972" s="65"/>
      <c r="AT3972" s="65"/>
    </row>
    <row r="3973" spans="45:46" x14ac:dyDescent="0.25">
      <c r="AS3973" s="65"/>
      <c r="AT3973" s="65"/>
    </row>
    <row r="3974" spans="45:46" x14ac:dyDescent="0.25">
      <c r="AS3974" s="65"/>
      <c r="AT3974" s="65"/>
    </row>
    <row r="3975" spans="45:46" x14ac:dyDescent="0.25">
      <c r="AS3975" s="65"/>
      <c r="AT3975" s="65"/>
    </row>
    <row r="3976" spans="45:46" x14ac:dyDescent="0.25">
      <c r="AS3976" s="65"/>
      <c r="AT3976" s="65"/>
    </row>
    <row r="3977" spans="45:46" x14ac:dyDescent="0.25">
      <c r="AS3977" s="65"/>
      <c r="AT3977" s="65"/>
    </row>
    <row r="3978" spans="45:46" x14ac:dyDescent="0.25">
      <c r="AS3978" s="65"/>
      <c r="AT3978" s="65"/>
    </row>
    <row r="3979" spans="45:46" x14ac:dyDescent="0.25">
      <c r="AS3979" s="65"/>
      <c r="AT3979" s="65"/>
    </row>
    <row r="3980" spans="45:46" x14ac:dyDescent="0.25">
      <c r="AS3980" s="65"/>
      <c r="AT3980" s="65"/>
    </row>
    <row r="3981" spans="45:46" x14ac:dyDescent="0.25">
      <c r="AS3981" s="65"/>
      <c r="AT3981" s="65"/>
    </row>
    <row r="3982" spans="45:46" x14ac:dyDescent="0.25">
      <c r="AS3982" s="65"/>
      <c r="AT3982" s="65"/>
    </row>
    <row r="3983" spans="45:46" x14ac:dyDescent="0.25">
      <c r="AS3983" s="65"/>
      <c r="AT3983" s="65"/>
    </row>
    <row r="3984" spans="45:46" x14ac:dyDescent="0.25">
      <c r="AS3984" s="65"/>
      <c r="AT3984" s="65"/>
    </row>
    <row r="3985" spans="45:46" x14ac:dyDescent="0.25">
      <c r="AS3985" s="65"/>
      <c r="AT3985" s="65"/>
    </row>
    <row r="3986" spans="45:46" x14ac:dyDescent="0.25">
      <c r="AS3986" s="65"/>
      <c r="AT3986" s="65"/>
    </row>
    <row r="3987" spans="45:46" x14ac:dyDescent="0.25">
      <c r="AS3987" s="65"/>
      <c r="AT3987" s="65"/>
    </row>
    <row r="3988" spans="45:46" x14ac:dyDescent="0.25">
      <c r="AS3988" s="65"/>
      <c r="AT3988" s="65"/>
    </row>
    <row r="3989" spans="45:46" x14ac:dyDescent="0.25">
      <c r="AS3989" s="65"/>
      <c r="AT3989" s="65"/>
    </row>
    <row r="3990" spans="45:46" x14ac:dyDescent="0.25">
      <c r="AS3990" s="65"/>
      <c r="AT3990" s="65"/>
    </row>
    <row r="3991" spans="45:46" x14ac:dyDescent="0.25">
      <c r="AS3991" s="65"/>
      <c r="AT3991" s="65"/>
    </row>
    <row r="3992" spans="45:46" x14ac:dyDescent="0.25">
      <c r="AS3992" s="65"/>
      <c r="AT3992" s="65"/>
    </row>
    <row r="3993" spans="45:46" x14ac:dyDescent="0.25">
      <c r="AS3993" s="65"/>
      <c r="AT3993" s="65"/>
    </row>
    <row r="3994" spans="45:46" x14ac:dyDescent="0.25">
      <c r="AS3994" s="65"/>
      <c r="AT3994" s="65"/>
    </row>
    <row r="3995" spans="45:46" x14ac:dyDescent="0.25">
      <c r="AS3995" s="65"/>
      <c r="AT3995" s="65"/>
    </row>
    <row r="3996" spans="45:46" x14ac:dyDescent="0.25">
      <c r="AS3996" s="65"/>
      <c r="AT3996" s="65"/>
    </row>
    <row r="3997" spans="45:46" x14ac:dyDescent="0.25">
      <c r="AS3997" s="65"/>
      <c r="AT3997" s="65"/>
    </row>
    <row r="3998" spans="45:46" x14ac:dyDescent="0.25">
      <c r="AS3998" s="65"/>
      <c r="AT3998" s="65"/>
    </row>
    <row r="3999" spans="45:46" x14ac:dyDescent="0.25">
      <c r="AS3999" s="65"/>
      <c r="AT3999" s="65"/>
    </row>
    <row r="4000" spans="45:46" x14ac:dyDescent="0.25">
      <c r="AS4000" s="65"/>
      <c r="AT4000" s="65"/>
    </row>
    <row r="4001" spans="45:46" x14ac:dyDescent="0.25">
      <c r="AS4001" s="65"/>
      <c r="AT4001" s="65"/>
    </row>
    <row r="4002" spans="45:46" x14ac:dyDescent="0.25">
      <c r="AS4002" s="65"/>
      <c r="AT4002" s="65"/>
    </row>
    <row r="4003" spans="45:46" x14ac:dyDescent="0.25">
      <c r="AS4003" s="65"/>
      <c r="AT4003" s="65"/>
    </row>
    <row r="4004" spans="45:46" x14ac:dyDescent="0.25">
      <c r="AS4004" s="65"/>
      <c r="AT4004" s="65"/>
    </row>
    <row r="4005" spans="45:46" x14ac:dyDescent="0.25">
      <c r="AS4005" s="65"/>
      <c r="AT4005" s="65"/>
    </row>
    <row r="4006" spans="45:46" x14ac:dyDescent="0.25">
      <c r="AS4006" s="65"/>
      <c r="AT4006" s="65"/>
    </row>
    <row r="4007" spans="45:46" x14ac:dyDescent="0.25">
      <c r="AS4007" s="65"/>
      <c r="AT4007" s="65"/>
    </row>
    <row r="4008" spans="45:46" x14ac:dyDescent="0.25">
      <c r="AS4008" s="65"/>
      <c r="AT4008" s="65"/>
    </row>
    <row r="4009" spans="45:46" x14ac:dyDescent="0.25">
      <c r="AS4009" s="65"/>
      <c r="AT4009" s="65"/>
    </row>
    <row r="4010" spans="45:46" x14ac:dyDescent="0.25">
      <c r="AS4010" s="65"/>
      <c r="AT4010" s="65"/>
    </row>
    <row r="4011" spans="45:46" x14ac:dyDescent="0.25">
      <c r="AS4011" s="65"/>
      <c r="AT4011" s="65"/>
    </row>
    <row r="4012" spans="45:46" x14ac:dyDescent="0.25">
      <c r="AS4012" s="65"/>
      <c r="AT4012" s="65"/>
    </row>
    <row r="4013" spans="45:46" x14ac:dyDescent="0.25">
      <c r="AS4013" s="65"/>
      <c r="AT4013" s="65"/>
    </row>
    <row r="4014" spans="45:46" x14ac:dyDescent="0.25">
      <c r="AS4014" s="65"/>
      <c r="AT4014" s="65"/>
    </row>
    <row r="4015" spans="45:46" x14ac:dyDescent="0.25">
      <c r="AS4015" s="65"/>
      <c r="AT4015" s="65"/>
    </row>
    <row r="4016" spans="45:46" x14ac:dyDescent="0.25">
      <c r="AS4016" s="65"/>
      <c r="AT4016" s="65"/>
    </row>
    <row r="4017" spans="45:46" x14ac:dyDescent="0.25">
      <c r="AS4017" s="65"/>
      <c r="AT4017" s="65"/>
    </row>
    <row r="4018" spans="45:46" x14ac:dyDescent="0.25">
      <c r="AS4018" s="65"/>
      <c r="AT4018" s="65"/>
    </row>
    <row r="4019" spans="45:46" x14ac:dyDescent="0.25">
      <c r="AS4019" s="65"/>
      <c r="AT4019" s="65"/>
    </row>
    <row r="4020" spans="45:46" x14ac:dyDescent="0.25">
      <c r="AS4020" s="65"/>
      <c r="AT4020" s="65"/>
    </row>
    <row r="4021" spans="45:46" x14ac:dyDescent="0.25">
      <c r="AS4021" s="65"/>
      <c r="AT4021" s="65"/>
    </row>
    <row r="4022" spans="45:46" x14ac:dyDescent="0.25">
      <c r="AS4022" s="65"/>
      <c r="AT4022" s="65"/>
    </row>
    <row r="4023" spans="45:46" x14ac:dyDescent="0.25">
      <c r="AS4023" s="65"/>
      <c r="AT4023" s="65"/>
    </row>
    <row r="4024" spans="45:46" x14ac:dyDescent="0.25">
      <c r="AS4024" s="65"/>
      <c r="AT4024" s="65"/>
    </row>
    <row r="4025" spans="45:46" x14ac:dyDescent="0.25">
      <c r="AS4025" s="65"/>
      <c r="AT4025" s="65"/>
    </row>
    <row r="4026" spans="45:46" x14ac:dyDescent="0.25">
      <c r="AS4026" s="65"/>
      <c r="AT4026" s="65"/>
    </row>
    <row r="4027" spans="45:46" x14ac:dyDescent="0.25">
      <c r="AS4027" s="65"/>
      <c r="AT4027" s="65"/>
    </row>
    <row r="4028" spans="45:46" x14ac:dyDescent="0.25">
      <c r="AS4028" s="65"/>
      <c r="AT4028" s="65"/>
    </row>
    <row r="4029" spans="45:46" x14ac:dyDescent="0.25">
      <c r="AS4029" s="65"/>
      <c r="AT4029" s="65"/>
    </row>
    <row r="4030" spans="45:46" x14ac:dyDescent="0.25">
      <c r="AS4030" s="65"/>
      <c r="AT4030" s="65"/>
    </row>
    <row r="4031" spans="45:46" x14ac:dyDescent="0.25">
      <c r="AS4031" s="65"/>
      <c r="AT4031" s="65"/>
    </row>
    <row r="4032" spans="45:46" x14ac:dyDescent="0.25">
      <c r="AS4032" s="65"/>
      <c r="AT4032" s="65"/>
    </row>
    <row r="4033" spans="45:46" x14ac:dyDescent="0.25">
      <c r="AS4033" s="65"/>
      <c r="AT4033" s="65"/>
    </row>
    <row r="4034" spans="45:46" x14ac:dyDescent="0.25">
      <c r="AS4034" s="65"/>
      <c r="AT4034" s="65"/>
    </row>
    <row r="4035" spans="45:46" x14ac:dyDescent="0.25">
      <c r="AS4035" s="65"/>
      <c r="AT4035" s="65"/>
    </row>
    <row r="4036" spans="45:46" x14ac:dyDescent="0.25">
      <c r="AS4036" s="65"/>
      <c r="AT4036" s="65"/>
    </row>
    <row r="4037" spans="45:46" x14ac:dyDescent="0.25">
      <c r="AS4037" s="65"/>
      <c r="AT4037" s="65"/>
    </row>
    <row r="4038" spans="45:46" x14ac:dyDescent="0.25">
      <c r="AS4038" s="65"/>
      <c r="AT4038" s="65"/>
    </row>
    <row r="4039" spans="45:46" x14ac:dyDescent="0.25">
      <c r="AS4039" s="65"/>
      <c r="AT4039" s="65"/>
    </row>
    <row r="4040" spans="45:46" x14ac:dyDescent="0.25">
      <c r="AS4040" s="65"/>
      <c r="AT4040" s="65"/>
    </row>
    <row r="4041" spans="45:46" x14ac:dyDescent="0.25">
      <c r="AS4041" s="65"/>
      <c r="AT4041" s="65"/>
    </row>
    <row r="4042" spans="45:46" x14ac:dyDescent="0.25">
      <c r="AS4042" s="65"/>
      <c r="AT4042" s="65"/>
    </row>
    <row r="4043" spans="45:46" x14ac:dyDescent="0.25">
      <c r="AS4043" s="65"/>
      <c r="AT4043" s="65"/>
    </row>
    <row r="4044" spans="45:46" x14ac:dyDescent="0.25">
      <c r="AS4044" s="65"/>
      <c r="AT4044" s="65"/>
    </row>
    <row r="4045" spans="45:46" x14ac:dyDescent="0.25">
      <c r="AS4045" s="65"/>
      <c r="AT4045" s="65"/>
    </row>
    <row r="4046" spans="45:46" x14ac:dyDescent="0.25">
      <c r="AS4046" s="65"/>
      <c r="AT4046" s="65"/>
    </row>
    <row r="4047" spans="45:46" x14ac:dyDescent="0.25">
      <c r="AS4047" s="65"/>
      <c r="AT4047" s="65"/>
    </row>
    <row r="4048" spans="45:46" x14ac:dyDescent="0.25">
      <c r="AS4048" s="65"/>
      <c r="AT4048" s="65"/>
    </row>
    <row r="4049" spans="45:46" x14ac:dyDescent="0.25">
      <c r="AS4049" s="65"/>
      <c r="AT4049" s="65"/>
    </row>
    <row r="4050" spans="45:46" x14ac:dyDescent="0.25">
      <c r="AS4050" s="65"/>
      <c r="AT4050" s="65"/>
    </row>
    <row r="4051" spans="45:46" x14ac:dyDescent="0.25">
      <c r="AS4051" s="65"/>
      <c r="AT4051" s="65"/>
    </row>
    <row r="4052" spans="45:46" x14ac:dyDescent="0.25">
      <c r="AS4052" s="65"/>
      <c r="AT4052" s="65"/>
    </row>
    <row r="4053" spans="45:46" x14ac:dyDescent="0.25">
      <c r="AS4053" s="65"/>
      <c r="AT4053" s="65"/>
    </row>
    <row r="4054" spans="45:46" x14ac:dyDescent="0.25">
      <c r="AS4054" s="65"/>
      <c r="AT4054" s="65"/>
    </row>
    <row r="4055" spans="45:46" x14ac:dyDescent="0.25">
      <c r="AS4055" s="65"/>
      <c r="AT4055" s="65"/>
    </row>
    <row r="4056" spans="45:46" x14ac:dyDescent="0.25">
      <c r="AS4056" s="65"/>
      <c r="AT4056" s="65"/>
    </row>
    <row r="4057" spans="45:46" x14ac:dyDescent="0.25">
      <c r="AS4057" s="65"/>
      <c r="AT4057" s="65"/>
    </row>
    <row r="4058" spans="45:46" x14ac:dyDescent="0.25">
      <c r="AS4058" s="65"/>
      <c r="AT4058" s="65"/>
    </row>
    <row r="4059" spans="45:46" x14ac:dyDescent="0.25">
      <c r="AS4059" s="65"/>
      <c r="AT4059" s="65"/>
    </row>
    <row r="4060" spans="45:46" x14ac:dyDescent="0.25">
      <c r="AS4060" s="65"/>
      <c r="AT4060" s="65"/>
    </row>
    <row r="4061" spans="45:46" x14ac:dyDescent="0.25">
      <c r="AS4061" s="65"/>
      <c r="AT4061" s="65"/>
    </row>
    <row r="4062" spans="45:46" x14ac:dyDescent="0.25">
      <c r="AS4062" s="65"/>
      <c r="AT4062" s="65"/>
    </row>
    <row r="4063" spans="45:46" x14ac:dyDescent="0.25">
      <c r="AS4063" s="65"/>
      <c r="AT4063" s="65"/>
    </row>
    <row r="4064" spans="45:46" x14ac:dyDescent="0.25">
      <c r="AS4064" s="65"/>
      <c r="AT4064" s="65"/>
    </row>
    <row r="4065" spans="45:46" x14ac:dyDescent="0.25">
      <c r="AS4065" s="65"/>
      <c r="AT4065" s="65"/>
    </row>
    <row r="4066" spans="45:46" x14ac:dyDescent="0.25">
      <c r="AS4066" s="65"/>
      <c r="AT4066" s="65"/>
    </row>
    <row r="4067" spans="45:46" x14ac:dyDescent="0.25">
      <c r="AS4067" s="65"/>
      <c r="AT4067" s="65"/>
    </row>
    <row r="4068" spans="45:46" x14ac:dyDescent="0.25">
      <c r="AS4068" s="65"/>
      <c r="AT4068" s="65"/>
    </row>
    <row r="4069" spans="45:46" x14ac:dyDescent="0.25">
      <c r="AS4069" s="65"/>
      <c r="AT4069" s="65"/>
    </row>
    <row r="4070" spans="45:46" x14ac:dyDescent="0.25">
      <c r="AS4070" s="65"/>
      <c r="AT4070" s="65"/>
    </row>
    <row r="4071" spans="45:46" x14ac:dyDescent="0.25">
      <c r="AS4071" s="65"/>
      <c r="AT4071" s="65"/>
    </row>
    <row r="4072" spans="45:46" x14ac:dyDescent="0.25">
      <c r="AS4072" s="65"/>
      <c r="AT4072" s="65"/>
    </row>
    <row r="4073" spans="45:46" x14ac:dyDescent="0.25">
      <c r="AS4073" s="65"/>
      <c r="AT4073" s="65"/>
    </row>
    <row r="4074" spans="45:46" x14ac:dyDescent="0.25">
      <c r="AS4074" s="65"/>
      <c r="AT4074" s="65"/>
    </row>
    <row r="4075" spans="45:46" x14ac:dyDescent="0.25">
      <c r="AS4075" s="65"/>
      <c r="AT4075" s="65"/>
    </row>
    <row r="4076" spans="45:46" x14ac:dyDescent="0.25">
      <c r="AS4076" s="65"/>
      <c r="AT4076" s="65"/>
    </row>
    <row r="4077" spans="45:46" x14ac:dyDescent="0.25">
      <c r="AS4077" s="65"/>
      <c r="AT4077" s="65"/>
    </row>
    <row r="4078" spans="45:46" x14ac:dyDescent="0.25">
      <c r="AS4078" s="65"/>
      <c r="AT4078" s="65"/>
    </row>
    <row r="4079" spans="45:46" x14ac:dyDescent="0.25">
      <c r="AS4079" s="65"/>
      <c r="AT4079" s="65"/>
    </row>
    <row r="4080" spans="45:46" x14ac:dyDescent="0.25">
      <c r="AS4080" s="65"/>
      <c r="AT4080" s="65"/>
    </row>
    <row r="4081" spans="45:46" x14ac:dyDescent="0.25">
      <c r="AS4081" s="65"/>
      <c r="AT4081" s="65"/>
    </row>
    <row r="4082" spans="45:46" x14ac:dyDescent="0.25">
      <c r="AS4082" s="65"/>
      <c r="AT4082" s="65"/>
    </row>
    <row r="4083" spans="45:46" x14ac:dyDescent="0.25">
      <c r="AS4083" s="65"/>
      <c r="AT4083" s="65"/>
    </row>
    <row r="4084" spans="45:46" x14ac:dyDescent="0.25">
      <c r="AS4084" s="65"/>
      <c r="AT4084" s="65"/>
    </row>
    <row r="4085" spans="45:46" x14ac:dyDescent="0.25">
      <c r="AS4085" s="65"/>
      <c r="AT4085" s="65"/>
    </row>
    <row r="4086" spans="45:46" x14ac:dyDescent="0.25">
      <c r="AS4086" s="65"/>
      <c r="AT4086" s="65"/>
    </row>
    <row r="4087" spans="45:46" x14ac:dyDescent="0.25">
      <c r="AS4087" s="65"/>
      <c r="AT4087" s="65"/>
    </row>
    <row r="4088" spans="45:46" x14ac:dyDescent="0.25">
      <c r="AS4088" s="65"/>
      <c r="AT4088" s="65"/>
    </row>
    <row r="4089" spans="45:46" x14ac:dyDescent="0.25">
      <c r="AS4089" s="65"/>
      <c r="AT4089" s="65"/>
    </row>
    <row r="4090" spans="45:46" x14ac:dyDescent="0.25">
      <c r="AS4090" s="65"/>
      <c r="AT4090" s="65"/>
    </row>
    <row r="4091" spans="45:46" x14ac:dyDescent="0.25">
      <c r="AS4091" s="65"/>
      <c r="AT4091" s="65"/>
    </row>
    <row r="4092" spans="45:46" x14ac:dyDescent="0.25">
      <c r="AS4092" s="65"/>
      <c r="AT4092" s="65"/>
    </row>
    <row r="4093" spans="45:46" x14ac:dyDescent="0.25">
      <c r="AS4093" s="65"/>
      <c r="AT4093" s="65"/>
    </row>
    <row r="4094" spans="45:46" x14ac:dyDescent="0.25">
      <c r="AS4094" s="65"/>
      <c r="AT4094" s="65"/>
    </row>
    <row r="4095" spans="45:46" x14ac:dyDescent="0.25">
      <c r="AS4095" s="65"/>
      <c r="AT4095" s="65"/>
    </row>
    <row r="4096" spans="45:46" x14ac:dyDescent="0.25">
      <c r="AS4096" s="65"/>
      <c r="AT4096" s="65"/>
    </row>
    <row r="4097" spans="45:46" x14ac:dyDescent="0.25">
      <c r="AS4097" s="65"/>
      <c r="AT4097" s="65"/>
    </row>
    <row r="4098" spans="45:46" x14ac:dyDescent="0.25">
      <c r="AS4098" s="65"/>
      <c r="AT4098" s="65"/>
    </row>
    <row r="4099" spans="45:46" x14ac:dyDescent="0.25">
      <c r="AS4099" s="65"/>
      <c r="AT4099" s="65"/>
    </row>
    <row r="4100" spans="45:46" x14ac:dyDescent="0.25">
      <c r="AS4100" s="65"/>
      <c r="AT4100" s="65"/>
    </row>
    <row r="4101" spans="45:46" x14ac:dyDescent="0.25">
      <c r="AS4101" s="65"/>
      <c r="AT4101" s="65"/>
    </row>
    <row r="4102" spans="45:46" x14ac:dyDescent="0.25">
      <c r="AS4102" s="65"/>
      <c r="AT4102" s="65"/>
    </row>
    <row r="4103" spans="45:46" x14ac:dyDescent="0.25">
      <c r="AS4103" s="65"/>
      <c r="AT4103" s="65"/>
    </row>
    <row r="4104" spans="45:46" x14ac:dyDescent="0.25">
      <c r="AS4104" s="65"/>
      <c r="AT4104" s="65"/>
    </row>
    <row r="4105" spans="45:46" x14ac:dyDescent="0.25">
      <c r="AS4105" s="65"/>
      <c r="AT4105" s="65"/>
    </row>
    <row r="4106" spans="45:46" x14ac:dyDescent="0.25">
      <c r="AS4106" s="65"/>
      <c r="AT4106" s="65"/>
    </row>
    <row r="4107" spans="45:46" x14ac:dyDescent="0.25">
      <c r="AS4107" s="65"/>
      <c r="AT4107" s="65"/>
    </row>
    <row r="4108" spans="45:46" x14ac:dyDescent="0.25">
      <c r="AS4108" s="65"/>
      <c r="AT4108" s="65"/>
    </row>
    <row r="4109" spans="45:46" x14ac:dyDescent="0.25">
      <c r="AS4109" s="65"/>
      <c r="AT4109" s="65"/>
    </row>
    <row r="4110" spans="45:46" x14ac:dyDescent="0.25">
      <c r="AS4110" s="65"/>
      <c r="AT4110" s="65"/>
    </row>
    <row r="4111" spans="45:46" x14ac:dyDescent="0.25">
      <c r="AS4111" s="65"/>
      <c r="AT4111" s="65"/>
    </row>
    <row r="4112" spans="45:46" x14ac:dyDescent="0.25">
      <c r="AS4112" s="65"/>
      <c r="AT4112" s="65"/>
    </row>
    <row r="4113" spans="45:46" x14ac:dyDescent="0.25">
      <c r="AS4113" s="65"/>
      <c r="AT4113" s="65"/>
    </row>
    <row r="4114" spans="45:46" x14ac:dyDescent="0.25">
      <c r="AS4114" s="65"/>
      <c r="AT4114" s="65"/>
    </row>
    <row r="4115" spans="45:46" x14ac:dyDescent="0.25">
      <c r="AS4115" s="65"/>
      <c r="AT4115" s="65"/>
    </row>
    <row r="4116" spans="45:46" x14ac:dyDescent="0.25">
      <c r="AS4116" s="65"/>
      <c r="AT4116" s="65"/>
    </row>
    <row r="4117" spans="45:46" x14ac:dyDescent="0.25">
      <c r="AS4117" s="65"/>
      <c r="AT4117" s="65"/>
    </row>
    <row r="4118" spans="45:46" x14ac:dyDescent="0.25">
      <c r="AS4118" s="65"/>
      <c r="AT4118" s="65"/>
    </row>
    <row r="4119" spans="45:46" x14ac:dyDescent="0.25">
      <c r="AS4119" s="65"/>
      <c r="AT4119" s="65"/>
    </row>
    <row r="4120" spans="45:46" x14ac:dyDescent="0.25">
      <c r="AS4120" s="65"/>
      <c r="AT4120" s="65"/>
    </row>
    <row r="4121" spans="45:46" x14ac:dyDescent="0.25">
      <c r="AS4121" s="65"/>
      <c r="AT4121" s="65"/>
    </row>
    <row r="4122" spans="45:46" x14ac:dyDescent="0.25">
      <c r="AS4122" s="65"/>
      <c r="AT4122" s="65"/>
    </row>
    <row r="4123" spans="45:46" x14ac:dyDescent="0.25">
      <c r="AS4123" s="65"/>
      <c r="AT4123" s="65"/>
    </row>
    <row r="4124" spans="45:46" x14ac:dyDescent="0.25">
      <c r="AS4124" s="65"/>
      <c r="AT4124" s="65"/>
    </row>
    <row r="4125" spans="45:46" x14ac:dyDescent="0.25">
      <c r="AS4125" s="65"/>
      <c r="AT4125" s="65"/>
    </row>
    <row r="4126" spans="45:46" x14ac:dyDescent="0.25">
      <c r="AS4126" s="65"/>
      <c r="AT4126" s="65"/>
    </row>
    <row r="4127" spans="45:46" x14ac:dyDescent="0.25">
      <c r="AS4127" s="65"/>
      <c r="AT4127" s="65"/>
    </row>
    <row r="4128" spans="45:46" x14ac:dyDescent="0.25">
      <c r="AS4128" s="65"/>
      <c r="AT4128" s="65"/>
    </row>
    <row r="4129" spans="45:46" x14ac:dyDescent="0.25">
      <c r="AS4129" s="65"/>
      <c r="AT4129" s="65"/>
    </row>
    <row r="4130" spans="45:46" x14ac:dyDescent="0.25">
      <c r="AS4130" s="65"/>
      <c r="AT4130" s="65"/>
    </row>
    <row r="4131" spans="45:46" x14ac:dyDescent="0.25">
      <c r="AS4131" s="65"/>
      <c r="AT4131" s="65"/>
    </row>
    <row r="4132" spans="45:46" x14ac:dyDescent="0.25">
      <c r="AS4132" s="65"/>
      <c r="AT4132" s="65"/>
    </row>
    <row r="4133" spans="45:46" x14ac:dyDescent="0.25">
      <c r="AS4133" s="65"/>
      <c r="AT4133" s="65"/>
    </row>
    <row r="4134" spans="45:46" x14ac:dyDescent="0.25">
      <c r="AS4134" s="65"/>
      <c r="AT4134" s="65"/>
    </row>
    <row r="4135" spans="45:46" x14ac:dyDescent="0.25">
      <c r="AS4135" s="65"/>
      <c r="AT4135" s="65"/>
    </row>
    <row r="4136" spans="45:46" x14ac:dyDescent="0.25">
      <c r="AS4136" s="65"/>
      <c r="AT4136" s="65"/>
    </row>
    <row r="4137" spans="45:46" x14ac:dyDescent="0.25">
      <c r="AS4137" s="65"/>
      <c r="AT4137" s="65"/>
    </row>
    <row r="4138" spans="45:46" x14ac:dyDescent="0.25">
      <c r="AS4138" s="65"/>
      <c r="AT4138" s="65"/>
    </row>
    <row r="4139" spans="45:46" x14ac:dyDescent="0.25">
      <c r="AS4139" s="65"/>
      <c r="AT4139" s="65"/>
    </row>
    <row r="4140" spans="45:46" x14ac:dyDescent="0.25">
      <c r="AS4140" s="65"/>
      <c r="AT4140" s="65"/>
    </row>
    <row r="4141" spans="45:46" x14ac:dyDescent="0.25">
      <c r="AS4141" s="65"/>
      <c r="AT4141" s="65"/>
    </row>
    <row r="4142" spans="45:46" x14ac:dyDescent="0.25">
      <c r="AS4142" s="65"/>
      <c r="AT4142" s="65"/>
    </row>
    <row r="4143" spans="45:46" x14ac:dyDescent="0.25">
      <c r="AS4143" s="65"/>
      <c r="AT4143" s="65"/>
    </row>
    <row r="4144" spans="45:46" x14ac:dyDescent="0.25">
      <c r="AS4144" s="65"/>
      <c r="AT4144" s="65"/>
    </row>
    <row r="4145" spans="45:46" x14ac:dyDescent="0.25">
      <c r="AS4145" s="65"/>
      <c r="AT4145" s="65"/>
    </row>
    <row r="4146" spans="45:46" x14ac:dyDescent="0.25">
      <c r="AS4146" s="65"/>
      <c r="AT4146" s="65"/>
    </row>
    <row r="4147" spans="45:46" x14ac:dyDescent="0.25">
      <c r="AS4147" s="65"/>
      <c r="AT4147" s="65"/>
    </row>
    <row r="4148" spans="45:46" x14ac:dyDescent="0.25">
      <c r="AS4148" s="65"/>
      <c r="AT4148" s="65"/>
    </row>
    <row r="4149" spans="45:46" x14ac:dyDescent="0.25">
      <c r="AS4149" s="65"/>
      <c r="AT4149" s="65"/>
    </row>
    <row r="4150" spans="45:46" x14ac:dyDescent="0.25">
      <c r="AS4150" s="65"/>
      <c r="AT4150" s="65"/>
    </row>
    <row r="4151" spans="45:46" x14ac:dyDescent="0.25">
      <c r="AS4151" s="65"/>
      <c r="AT4151" s="65"/>
    </row>
    <row r="4152" spans="45:46" x14ac:dyDescent="0.25">
      <c r="AS4152" s="65"/>
      <c r="AT4152" s="65"/>
    </row>
    <row r="4153" spans="45:46" x14ac:dyDescent="0.25">
      <c r="AS4153" s="65"/>
      <c r="AT4153" s="65"/>
    </row>
    <row r="4154" spans="45:46" x14ac:dyDescent="0.25">
      <c r="AS4154" s="65"/>
      <c r="AT4154" s="65"/>
    </row>
    <row r="4155" spans="45:46" x14ac:dyDescent="0.25">
      <c r="AS4155" s="65"/>
      <c r="AT4155" s="65"/>
    </row>
    <row r="4156" spans="45:46" x14ac:dyDescent="0.25">
      <c r="AS4156" s="65"/>
      <c r="AT4156" s="65"/>
    </row>
    <row r="4157" spans="45:46" x14ac:dyDescent="0.25">
      <c r="AS4157" s="65"/>
      <c r="AT4157" s="65"/>
    </row>
    <row r="4158" spans="45:46" x14ac:dyDescent="0.25">
      <c r="AS4158" s="65"/>
      <c r="AT4158" s="65"/>
    </row>
    <row r="4159" spans="45:46" x14ac:dyDescent="0.25">
      <c r="AS4159" s="65"/>
      <c r="AT4159" s="65"/>
    </row>
    <row r="4160" spans="45:46" x14ac:dyDescent="0.25">
      <c r="AS4160" s="65"/>
      <c r="AT4160" s="65"/>
    </row>
    <row r="4161" spans="45:46" x14ac:dyDescent="0.25">
      <c r="AS4161" s="65"/>
      <c r="AT4161" s="65"/>
    </row>
    <row r="4162" spans="45:46" x14ac:dyDescent="0.25">
      <c r="AS4162" s="65"/>
      <c r="AT4162" s="65"/>
    </row>
    <row r="4163" spans="45:46" x14ac:dyDescent="0.25">
      <c r="AS4163" s="65"/>
      <c r="AT4163" s="65"/>
    </row>
    <row r="4164" spans="45:46" x14ac:dyDescent="0.25">
      <c r="AS4164" s="65"/>
      <c r="AT4164" s="65"/>
    </row>
    <row r="4165" spans="45:46" x14ac:dyDescent="0.25">
      <c r="AS4165" s="65"/>
      <c r="AT4165" s="65"/>
    </row>
    <row r="4166" spans="45:46" x14ac:dyDescent="0.25">
      <c r="AS4166" s="65"/>
      <c r="AT4166" s="65"/>
    </row>
    <row r="4167" spans="45:46" x14ac:dyDescent="0.25">
      <c r="AS4167" s="65"/>
      <c r="AT4167" s="65"/>
    </row>
    <row r="4168" spans="45:46" x14ac:dyDescent="0.25">
      <c r="AS4168" s="65"/>
      <c r="AT4168" s="65"/>
    </row>
    <row r="4169" spans="45:46" x14ac:dyDescent="0.25">
      <c r="AS4169" s="65"/>
      <c r="AT4169" s="65"/>
    </row>
    <row r="4170" spans="45:46" x14ac:dyDescent="0.25">
      <c r="AS4170" s="65"/>
      <c r="AT4170" s="65"/>
    </row>
    <row r="4171" spans="45:46" x14ac:dyDescent="0.25">
      <c r="AS4171" s="65"/>
      <c r="AT4171" s="65"/>
    </row>
    <row r="4172" spans="45:46" x14ac:dyDescent="0.25">
      <c r="AS4172" s="65"/>
      <c r="AT4172" s="65"/>
    </row>
    <row r="4173" spans="45:46" x14ac:dyDescent="0.25">
      <c r="AS4173" s="65"/>
      <c r="AT4173" s="65"/>
    </row>
    <row r="4174" spans="45:46" x14ac:dyDescent="0.25">
      <c r="AS4174" s="65"/>
      <c r="AT4174" s="65"/>
    </row>
    <row r="4175" spans="45:46" x14ac:dyDescent="0.25">
      <c r="AS4175" s="65"/>
      <c r="AT4175" s="65"/>
    </row>
    <row r="4176" spans="45:46" x14ac:dyDescent="0.25">
      <c r="AS4176" s="65"/>
      <c r="AT4176" s="65"/>
    </row>
    <row r="4177" spans="45:46" x14ac:dyDescent="0.25">
      <c r="AS4177" s="65"/>
      <c r="AT4177" s="65"/>
    </row>
    <row r="4178" spans="45:46" x14ac:dyDescent="0.25">
      <c r="AS4178" s="65"/>
      <c r="AT4178" s="65"/>
    </row>
    <row r="4179" spans="45:46" x14ac:dyDescent="0.25">
      <c r="AS4179" s="65"/>
      <c r="AT4179" s="65"/>
    </row>
    <row r="4180" spans="45:46" x14ac:dyDescent="0.25">
      <c r="AS4180" s="65"/>
      <c r="AT4180" s="65"/>
    </row>
    <row r="4181" spans="45:46" x14ac:dyDescent="0.25">
      <c r="AS4181" s="65"/>
      <c r="AT4181" s="65"/>
    </row>
    <row r="4182" spans="45:46" x14ac:dyDescent="0.25">
      <c r="AS4182" s="65"/>
      <c r="AT4182" s="65"/>
    </row>
    <row r="4183" spans="45:46" x14ac:dyDescent="0.25">
      <c r="AS4183" s="65"/>
      <c r="AT4183" s="65"/>
    </row>
    <row r="4184" spans="45:46" x14ac:dyDescent="0.25">
      <c r="AS4184" s="65"/>
      <c r="AT4184" s="65"/>
    </row>
    <row r="4185" spans="45:46" x14ac:dyDescent="0.25">
      <c r="AS4185" s="65"/>
      <c r="AT4185" s="65"/>
    </row>
    <row r="4186" spans="45:46" x14ac:dyDescent="0.25">
      <c r="AS4186" s="65"/>
      <c r="AT4186" s="65"/>
    </row>
    <row r="4187" spans="45:46" x14ac:dyDescent="0.25">
      <c r="AS4187" s="65"/>
      <c r="AT4187" s="65"/>
    </row>
    <row r="4188" spans="45:46" x14ac:dyDescent="0.25">
      <c r="AS4188" s="65"/>
      <c r="AT4188" s="65"/>
    </row>
    <row r="4189" spans="45:46" x14ac:dyDescent="0.25">
      <c r="AS4189" s="65"/>
      <c r="AT4189" s="65"/>
    </row>
    <row r="4190" spans="45:46" x14ac:dyDescent="0.25">
      <c r="AS4190" s="65"/>
      <c r="AT4190" s="65"/>
    </row>
    <row r="4191" spans="45:46" x14ac:dyDescent="0.25">
      <c r="AS4191" s="65"/>
      <c r="AT4191" s="65"/>
    </row>
    <row r="4192" spans="45:46" x14ac:dyDescent="0.25">
      <c r="AS4192" s="65"/>
      <c r="AT4192" s="65"/>
    </row>
    <row r="4193" spans="45:46" x14ac:dyDescent="0.25">
      <c r="AS4193" s="65"/>
      <c r="AT4193" s="65"/>
    </row>
    <row r="4194" spans="45:46" x14ac:dyDescent="0.25">
      <c r="AS4194" s="65"/>
      <c r="AT4194" s="65"/>
    </row>
    <row r="4195" spans="45:46" x14ac:dyDescent="0.25">
      <c r="AS4195" s="65"/>
      <c r="AT4195" s="65"/>
    </row>
    <row r="4196" spans="45:46" x14ac:dyDescent="0.25">
      <c r="AS4196" s="65"/>
      <c r="AT4196" s="65"/>
    </row>
    <row r="4197" spans="45:46" x14ac:dyDescent="0.25">
      <c r="AS4197" s="65"/>
      <c r="AT4197" s="65"/>
    </row>
    <row r="4198" spans="45:46" x14ac:dyDescent="0.25">
      <c r="AS4198" s="65"/>
      <c r="AT4198" s="65"/>
    </row>
    <row r="4199" spans="45:46" x14ac:dyDescent="0.25">
      <c r="AS4199" s="65"/>
      <c r="AT4199" s="65"/>
    </row>
    <row r="4200" spans="45:46" x14ac:dyDescent="0.25">
      <c r="AS4200" s="65"/>
      <c r="AT4200" s="65"/>
    </row>
    <row r="4201" spans="45:46" x14ac:dyDescent="0.25">
      <c r="AS4201" s="65"/>
      <c r="AT4201" s="65"/>
    </row>
    <row r="4202" spans="45:46" x14ac:dyDescent="0.25">
      <c r="AS4202" s="65"/>
      <c r="AT4202" s="65"/>
    </row>
    <row r="4203" spans="45:46" x14ac:dyDescent="0.25">
      <c r="AS4203" s="65"/>
      <c r="AT4203" s="65"/>
    </row>
    <row r="4204" spans="45:46" x14ac:dyDescent="0.25">
      <c r="AS4204" s="65"/>
      <c r="AT4204" s="65"/>
    </row>
    <row r="4205" spans="45:46" x14ac:dyDescent="0.25">
      <c r="AS4205" s="65"/>
      <c r="AT4205" s="65"/>
    </row>
    <row r="4206" spans="45:46" x14ac:dyDescent="0.25">
      <c r="AS4206" s="65"/>
      <c r="AT4206" s="65"/>
    </row>
    <row r="4207" spans="45:46" x14ac:dyDescent="0.25">
      <c r="AS4207" s="65"/>
      <c r="AT4207" s="65"/>
    </row>
    <row r="4208" spans="45:46" x14ac:dyDescent="0.25">
      <c r="AS4208" s="65"/>
      <c r="AT4208" s="65"/>
    </row>
    <row r="4209" spans="45:46" x14ac:dyDescent="0.25">
      <c r="AS4209" s="65"/>
      <c r="AT4209" s="65"/>
    </row>
    <row r="4210" spans="45:46" x14ac:dyDescent="0.25">
      <c r="AS4210" s="65"/>
      <c r="AT4210" s="65"/>
    </row>
    <row r="4211" spans="45:46" x14ac:dyDescent="0.25">
      <c r="AS4211" s="65"/>
      <c r="AT4211" s="65"/>
    </row>
    <row r="4212" spans="45:46" x14ac:dyDescent="0.25">
      <c r="AS4212" s="65"/>
      <c r="AT4212" s="65"/>
    </row>
    <row r="4213" spans="45:46" x14ac:dyDescent="0.25">
      <c r="AS4213" s="65"/>
      <c r="AT4213" s="65"/>
    </row>
    <row r="4214" spans="45:46" x14ac:dyDescent="0.25">
      <c r="AS4214" s="65"/>
      <c r="AT4214" s="65"/>
    </row>
    <row r="4215" spans="45:46" x14ac:dyDescent="0.25">
      <c r="AS4215" s="65"/>
      <c r="AT4215" s="65"/>
    </row>
    <row r="4216" spans="45:46" x14ac:dyDescent="0.25">
      <c r="AS4216" s="65"/>
      <c r="AT4216" s="65"/>
    </row>
    <row r="4217" spans="45:46" x14ac:dyDescent="0.25">
      <c r="AS4217" s="65"/>
      <c r="AT4217" s="65"/>
    </row>
    <row r="4218" spans="45:46" x14ac:dyDescent="0.25">
      <c r="AS4218" s="65"/>
      <c r="AT4218" s="65"/>
    </row>
    <row r="4219" spans="45:46" x14ac:dyDescent="0.25">
      <c r="AS4219" s="65"/>
      <c r="AT4219" s="65"/>
    </row>
    <row r="4220" spans="45:46" x14ac:dyDescent="0.25">
      <c r="AS4220" s="65"/>
      <c r="AT4220" s="65"/>
    </row>
    <row r="4221" spans="45:46" x14ac:dyDescent="0.25">
      <c r="AS4221" s="65"/>
      <c r="AT4221" s="65"/>
    </row>
    <row r="4222" spans="45:46" x14ac:dyDescent="0.25">
      <c r="AS4222" s="65"/>
      <c r="AT4222" s="65"/>
    </row>
    <row r="4223" spans="45:46" x14ac:dyDescent="0.25">
      <c r="AS4223" s="65"/>
      <c r="AT4223" s="65"/>
    </row>
    <row r="4224" spans="45:46" x14ac:dyDescent="0.25">
      <c r="AS4224" s="65"/>
      <c r="AT4224" s="65"/>
    </row>
    <row r="4225" spans="45:46" x14ac:dyDescent="0.25">
      <c r="AS4225" s="65"/>
      <c r="AT4225" s="65"/>
    </row>
    <row r="4226" spans="45:46" x14ac:dyDescent="0.25">
      <c r="AS4226" s="65"/>
      <c r="AT4226" s="65"/>
    </row>
    <row r="4227" spans="45:46" x14ac:dyDescent="0.25">
      <c r="AS4227" s="65"/>
      <c r="AT4227" s="65"/>
    </row>
    <row r="4228" spans="45:46" x14ac:dyDescent="0.25">
      <c r="AS4228" s="65"/>
      <c r="AT4228" s="65"/>
    </row>
    <row r="4229" spans="45:46" x14ac:dyDescent="0.25">
      <c r="AS4229" s="65"/>
      <c r="AT4229" s="65"/>
    </row>
    <row r="4230" spans="45:46" x14ac:dyDescent="0.25">
      <c r="AS4230" s="65"/>
      <c r="AT4230" s="65"/>
    </row>
    <row r="4231" spans="45:46" x14ac:dyDescent="0.25">
      <c r="AS4231" s="65"/>
      <c r="AT4231" s="65"/>
    </row>
    <row r="4232" spans="45:46" x14ac:dyDescent="0.25">
      <c r="AS4232" s="65"/>
      <c r="AT4232" s="65"/>
    </row>
    <row r="4233" spans="45:46" x14ac:dyDescent="0.25">
      <c r="AS4233" s="65"/>
      <c r="AT4233" s="65"/>
    </row>
    <row r="4234" spans="45:46" x14ac:dyDescent="0.25">
      <c r="AS4234" s="65"/>
      <c r="AT4234" s="65"/>
    </row>
    <row r="4235" spans="45:46" x14ac:dyDescent="0.25">
      <c r="AS4235" s="65"/>
      <c r="AT4235" s="65"/>
    </row>
    <row r="4236" spans="45:46" x14ac:dyDescent="0.25">
      <c r="AS4236" s="65"/>
      <c r="AT4236" s="65"/>
    </row>
    <row r="4237" spans="45:46" x14ac:dyDescent="0.25">
      <c r="AS4237" s="65"/>
      <c r="AT4237" s="65"/>
    </row>
    <row r="4238" spans="45:46" x14ac:dyDescent="0.25">
      <c r="AS4238" s="65"/>
      <c r="AT4238" s="65"/>
    </row>
    <row r="4239" spans="45:46" x14ac:dyDescent="0.25">
      <c r="AS4239" s="65"/>
      <c r="AT4239" s="65"/>
    </row>
    <row r="4240" spans="45:46" x14ac:dyDescent="0.25">
      <c r="AS4240" s="65"/>
      <c r="AT4240" s="65"/>
    </row>
    <row r="4241" spans="45:46" x14ac:dyDescent="0.25">
      <c r="AS4241" s="65"/>
      <c r="AT4241" s="65"/>
    </row>
    <row r="4242" spans="45:46" x14ac:dyDescent="0.25">
      <c r="AS4242" s="65"/>
      <c r="AT4242" s="65"/>
    </row>
    <row r="4243" spans="45:46" x14ac:dyDescent="0.25">
      <c r="AS4243" s="65"/>
      <c r="AT4243" s="65"/>
    </row>
    <row r="4244" spans="45:46" x14ac:dyDescent="0.25">
      <c r="AS4244" s="65"/>
      <c r="AT4244" s="65"/>
    </row>
    <row r="4245" spans="45:46" x14ac:dyDescent="0.25">
      <c r="AS4245" s="65"/>
      <c r="AT4245" s="65"/>
    </row>
    <row r="4246" spans="45:46" x14ac:dyDescent="0.25">
      <c r="AS4246" s="65"/>
      <c r="AT4246" s="65"/>
    </row>
    <row r="4247" spans="45:46" x14ac:dyDescent="0.25">
      <c r="AS4247" s="65"/>
      <c r="AT4247" s="65"/>
    </row>
    <row r="4248" spans="45:46" x14ac:dyDescent="0.25">
      <c r="AS4248" s="65"/>
      <c r="AT4248" s="65"/>
    </row>
    <row r="4249" spans="45:46" x14ac:dyDescent="0.25">
      <c r="AS4249" s="65"/>
      <c r="AT4249" s="65"/>
    </row>
    <row r="4250" spans="45:46" x14ac:dyDescent="0.25">
      <c r="AS4250" s="65"/>
      <c r="AT4250" s="65"/>
    </row>
    <row r="4251" spans="45:46" x14ac:dyDescent="0.25">
      <c r="AS4251" s="65"/>
      <c r="AT4251" s="65"/>
    </row>
    <row r="4252" spans="45:46" x14ac:dyDescent="0.25">
      <c r="AS4252" s="65"/>
      <c r="AT4252" s="65"/>
    </row>
    <row r="4253" spans="45:46" x14ac:dyDescent="0.25">
      <c r="AS4253" s="65"/>
      <c r="AT4253" s="65"/>
    </row>
    <row r="4254" spans="45:46" x14ac:dyDescent="0.25">
      <c r="AS4254" s="65"/>
      <c r="AT4254" s="65"/>
    </row>
    <row r="4255" spans="45:46" x14ac:dyDescent="0.25">
      <c r="AS4255" s="65"/>
      <c r="AT4255" s="65"/>
    </row>
    <row r="4256" spans="45:46" x14ac:dyDescent="0.25">
      <c r="AS4256" s="65"/>
      <c r="AT4256" s="65"/>
    </row>
    <row r="4257" spans="45:46" x14ac:dyDescent="0.25">
      <c r="AS4257" s="65"/>
      <c r="AT4257" s="65"/>
    </row>
    <row r="4258" spans="45:46" x14ac:dyDescent="0.25">
      <c r="AS4258" s="65"/>
      <c r="AT4258" s="65"/>
    </row>
    <row r="4259" spans="45:46" x14ac:dyDescent="0.25">
      <c r="AS4259" s="65"/>
      <c r="AT4259" s="65"/>
    </row>
    <row r="4260" spans="45:46" x14ac:dyDescent="0.25">
      <c r="AS4260" s="65"/>
      <c r="AT4260" s="65"/>
    </row>
    <row r="4261" spans="45:46" x14ac:dyDescent="0.25">
      <c r="AS4261" s="65"/>
      <c r="AT4261" s="65"/>
    </row>
    <row r="4262" spans="45:46" x14ac:dyDescent="0.25">
      <c r="AS4262" s="65"/>
      <c r="AT4262" s="65"/>
    </row>
    <row r="4263" spans="45:46" x14ac:dyDescent="0.25">
      <c r="AS4263" s="65"/>
      <c r="AT4263" s="65"/>
    </row>
    <row r="4264" spans="45:46" x14ac:dyDescent="0.25">
      <c r="AS4264" s="65"/>
      <c r="AT4264" s="65"/>
    </row>
    <row r="4265" spans="45:46" x14ac:dyDescent="0.25">
      <c r="AS4265" s="65"/>
      <c r="AT4265" s="65"/>
    </row>
    <row r="4266" spans="45:46" x14ac:dyDescent="0.25">
      <c r="AS4266" s="65"/>
      <c r="AT4266" s="65"/>
    </row>
    <row r="4267" spans="45:46" x14ac:dyDescent="0.25">
      <c r="AS4267" s="65"/>
      <c r="AT4267" s="65"/>
    </row>
    <row r="4268" spans="45:46" x14ac:dyDescent="0.25">
      <c r="AS4268" s="65"/>
      <c r="AT4268" s="65"/>
    </row>
    <row r="4269" spans="45:46" x14ac:dyDescent="0.25">
      <c r="AS4269" s="65"/>
      <c r="AT4269" s="65"/>
    </row>
    <row r="4270" spans="45:46" x14ac:dyDescent="0.25">
      <c r="AS4270" s="65"/>
      <c r="AT4270" s="65"/>
    </row>
    <row r="4271" spans="45:46" x14ac:dyDescent="0.25">
      <c r="AS4271" s="65"/>
      <c r="AT4271" s="65"/>
    </row>
    <row r="4272" spans="45:46" x14ac:dyDescent="0.25">
      <c r="AS4272" s="65"/>
      <c r="AT4272" s="65"/>
    </row>
    <row r="4273" spans="45:46" x14ac:dyDescent="0.25">
      <c r="AS4273" s="65"/>
      <c r="AT4273" s="65"/>
    </row>
    <row r="4274" spans="45:46" x14ac:dyDescent="0.25">
      <c r="AS4274" s="65"/>
      <c r="AT4274" s="65"/>
    </row>
    <row r="4275" spans="45:46" x14ac:dyDescent="0.25">
      <c r="AS4275" s="65"/>
      <c r="AT4275" s="65"/>
    </row>
    <row r="4276" spans="45:46" x14ac:dyDescent="0.25">
      <c r="AS4276" s="65"/>
      <c r="AT4276" s="65"/>
    </row>
    <row r="4277" spans="45:46" x14ac:dyDescent="0.25">
      <c r="AS4277" s="65"/>
      <c r="AT4277" s="65"/>
    </row>
    <row r="4278" spans="45:46" x14ac:dyDescent="0.25">
      <c r="AS4278" s="65"/>
      <c r="AT4278" s="65"/>
    </row>
    <row r="4279" spans="45:46" x14ac:dyDescent="0.25">
      <c r="AS4279" s="65"/>
      <c r="AT4279" s="65"/>
    </row>
    <row r="4280" spans="45:46" x14ac:dyDescent="0.25">
      <c r="AS4280" s="65"/>
      <c r="AT4280" s="65"/>
    </row>
    <row r="4281" spans="45:46" x14ac:dyDescent="0.25">
      <c r="AS4281" s="65"/>
      <c r="AT4281" s="65"/>
    </row>
    <row r="4282" spans="45:46" x14ac:dyDescent="0.25">
      <c r="AS4282" s="65"/>
      <c r="AT4282" s="65"/>
    </row>
    <row r="4283" spans="45:46" x14ac:dyDescent="0.25">
      <c r="AS4283" s="65"/>
      <c r="AT4283" s="65"/>
    </row>
    <row r="4284" spans="45:46" x14ac:dyDescent="0.25">
      <c r="AS4284" s="65"/>
      <c r="AT4284" s="65"/>
    </row>
    <row r="4285" spans="45:46" x14ac:dyDescent="0.25">
      <c r="AS4285" s="65"/>
      <c r="AT4285" s="65"/>
    </row>
    <row r="4286" spans="45:46" x14ac:dyDescent="0.25">
      <c r="AS4286" s="65"/>
      <c r="AT4286" s="65"/>
    </row>
    <row r="4287" spans="45:46" x14ac:dyDescent="0.25">
      <c r="AS4287" s="65"/>
      <c r="AT4287" s="65"/>
    </row>
    <row r="4288" spans="45:46" x14ac:dyDescent="0.25">
      <c r="AS4288" s="65"/>
      <c r="AT4288" s="65"/>
    </row>
    <row r="4289" spans="45:46" x14ac:dyDescent="0.25">
      <c r="AS4289" s="65"/>
      <c r="AT4289" s="65"/>
    </row>
    <row r="4290" spans="45:46" x14ac:dyDescent="0.25">
      <c r="AS4290" s="65"/>
      <c r="AT4290" s="65"/>
    </row>
    <row r="4291" spans="45:46" x14ac:dyDescent="0.25">
      <c r="AS4291" s="65"/>
      <c r="AT4291" s="65"/>
    </row>
    <row r="4292" spans="45:46" x14ac:dyDescent="0.25">
      <c r="AS4292" s="65"/>
      <c r="AT4292" s="65"/>
    </row>
    <row r="4293" spans="45:46" x14ac:dyDescent="0.25">
      <c r="AS4293" s="65"/>
      <c r="AT4293" s="65"/>
    </row>
    <row r="4294" spans="45:46" x14ac:dyDescent="0.25">
      <c r="AS4294" s="65"/>
      <c r="AT4294" s="65"/>
    </row>
    <row r="4295" spans="45:46" x14ac:dyDescent="0.25">
      <c r="AS4295" s="65"/>
      <c r="AT4295" s="65"/>
    </row>
    <row r="4296" spans="45:46" x14ac:dyDescent="0.25">
      <c r="AS4296" s="65"/>
      <c r="AT4296" s="65"/>
    </row>
    <row r="4297" spans="45:46" x14ac:dyDescent="0.25">
      <c r="AS4297" s="65"/>
      <c r="AT4297" s="65"/>
    </row>
    <row r="4298" spans="45:46" x14ac:dyDescent="0.25">
      <c r="AS4298" s="65"/>
      <c r="AT4298" s="65"/>
    </row>
    <row r="4299" spans="45:46" x14ac:dyDescent="0.25">
      <c r="AS4299" s="65"/>
      <c r="AT4299" s="65"/>
    </row>
    <row r="4300" spans="45:46" x14ac:dyDescent="0.25">
      <c r="AS4300" s="65"/>
      <c r="AT4300" s="65"/>
    </row>
    <row r="4301" spans="45:46" x14ac:dyDescent="0.25">
      <c r="AS4301" s="65"/>
      <c r="AT4301" s="65"/>
    </row>
    <row r="4302" spans="45:46" x14ac:dyDescent="0.25">
      <c r="AS4302" s="65"/>
      <c r="AT4302" s="65"/>
    </row>
    <row r="4303" spans="45:46" x14ac:dyDescent="0.25">
      <c r="AS4303" s="65"/>
      <c r="AT4303" s="65"/>
    </row>
    <row r="4304" spans="45:46" x14ac:dyDescent="0.25">
      <c r="AS4304" s="65"/>
      <c r="AT4304" s="65"/>
    </row>
    <row r="4305" spans="45:46" x14ac:dyDescent="0.25">
      <c r="AS4305" s="65"/>
      <c r="AT4305" s="65"/>
    </row>
    <row r="4306" spans="45:46" x14ac:dyDescent="0.25">
      <c r="AS4306" s="65"/>
      <c r="AT4306" s="65"/>
    </row>
    <row r="4307" spans="45:46" x14ac:dyDescent="0.25">
      <c r="AS4307" s="65"/>
      <c r="AT4307" s="65"/>
    </row>
    <row r="4308" spans="45:46" x14ac:dyDescent="0.25">
      <c r="AS4308" s="65"/>
      <c r="AT4308" s="65"/>
    </row>
    <row r="4309" spans="45:46" x14ac:dyDescent="0.25">
      <c r="AS4309" s="65"/>
      <c r="AT4309" s="65"/>
    </row>
    <row r="4310" spans="45:46" x14ac:dyDescent="0.25">
      <c r="AS4310" s="65"/>
      <c r="AT4310" s="65"/>
    </row>
    <row r="4311" spans="45:46" x14ac:dyDescent="0.25">
      <c r="AS4311" s="65"/>
      <c r="AT4311" s="65"/>
    </row>
    <row r="4312" spans="45:46" x14ac:dyDescent="0.25">
      <c r="AS4312" s="65"/>
      <c r="AT4312" s="65"/>
    </row>
    <row r="4313" spans="45:46" x14ac:dyDescent="0.25">
      <c r="AS4313" s="65"/>
      <c r="AT4313" s="65"/>
    </row>
    <row r="4314" spans="45:46" x14ac:dyDescent="0.25">
      <c r="AS4314" s="65"/>
      <c r="AT4314" s="65"/>
    </row>
    <row r="4315" spans="45:46" x14ac:dyDescent="0.25">
      <c r="AS4315" s="65"/>
      <c r="AT4315" s="65"/>
    </row>
    <row r="4316" spans="45:46" x14ac:dyDescent="0.25">
      <c r="AS4316" s="65"/>
      <c r="AT4316" s="65"/>
    </row>
    <row r="4317" spans="45:46" x14ac:dyDescent="0.25">
      <c r="AS4317" s="65"/>
      <c r="AT4317" s="65"/>
    </row>
    <row r="4318" spans="45:46" x14ac:dyDescent="0.25">
      <c r="AS4318" s="65"/>
      <c r="AT4318" s="65"/>
    </row>
    <row r="4319" spans="45:46" x14ac:dyDescent="0.25">
      <c r="AS4319" s="65"/>
      <c r="AT4319" s="65"/>
    </row>
    <row r="4320" spans="45:46" x14ac:dyDescent="0.25">
      <c r="AS4320" s="65"/>
      <c r="AT4320" s="65"/>
    </row>
    <row r="4321" spans="45:46" x14ac:dyDescent="0.25">
      <c r="AS4321" s="65"/>
      <c r="AT4321" s="65"/>
    </row>
    <row r="4322" spans="45:46" x14ac:dyDescent="0.25">
      <c r="AS4322" s="65"/>
      <c r="AT4322" s="65"/>
    </row>
    <row r="4323" spans="45:46" x14ac:dyDescent="0.25">
      <c r="AS4323" s="65"/>
      <c r="AT4323" s="65"/>
    </row>
    <row r="4324" spans="45:46" x14ac:dyDescent="0.25">
      <c r="AS4324" s="65"/>
      <c r="AT4324" s="65"/>
    </row>
    <row r="4325" spans="45:46" x14ac:dyDescent="0.25">
      <c r="AS4325" s="65"/>
      <c r="AT4325" s="65"/>
    </row>
    <row r="4326" spans="45:46" x14ac:dyDescent="0.25">
      <c r="AS4326" s="65"/>
      <c r="AT4326" s="65"/>
    </row>
    <row r="4327" spans="45:46" x14ac:dyDescent="0.25">
      <c r="AS4327" s="65"/>
      <c r="AT4327" s="65"/>
    </row>
    <row r="4328" spans="45:46" x14ac:dyDescent="0.25">
      <c r="AS4328" s="65"/>
      <c r="AT4328" s="65"/>
    </row>
    <row r="4329" spans="45:46" x14ac:dyDescent="0.25">
      <c r="AS4329" s="65"/>
      <c r="AT4329" s="65"/>
    </row>
    <row r="4330" spans="45:46" x14ac:dyDescent="0.25">
      <c r="AS4330" s="65"/>
      <c r="AT4330" s="65"/>
    </row>
    <row r="4331" spans="45:46" x14ac:dyDescent="0.25">
      <c r="AS4331" s="65"/>
      <c r="AT4331" s="65"/>
    </row>
    <row r="4332" spans="45:46" x14ac:dyDescent="0.25">
      <c r="AS4332" s="65"/>
      <c r="AT4332" s="65"/>
    </row>
    <row r="4333" spans="45:46" x14ac:dyDescent="0.25">
      <c r="AS4333" s="65"/>
      <c r="AT4333" s="65"/>
    </row>
    <row r="4334" spans="45:46" x14ac:dyDescent="0.25">
      <c r="AS4334" s="65"/>
      <c r="AT4334" s="65"/>
    </row>
    <row r="4335" spans="45:46" x14ac:dyDescent="0.25">
      <c r="AS4335" s="65"/>
      <c r="AT4335" s="65"/>
    </row>
    <row r="4336" spans="45:46" x14ac:dyDescent="0.25">
      <c r="AS4336" s="65"/>
      <c r="AT4336" s="65"/>
    </row>
    <row r="4337" spans="45:46" x14ac:dyDescent="0.25">
      <c r="AS4337" s="65"/>
      <c r="AT4337" s="65"/>
    </row>
    <row r="4338" spans="45:46" x14ac:dyDescent="0.25">
      <c r="AS4338" s="65"/>
      <c r="AT4338" s="65"/>
    </row>
    <row r="4339" spans="45:46" x14ac:dyDescent="0.25">
      <c r="AS4339" s="65"/>
      <c r="AT4339" s="65"/>
    </row>
    <row r="4340" spans="45:46" x14ac:dyDescent="0.25">
      <c r="AS4340" s="65"/>
      <c r="AT4340" s="65"/>
    </row>
    <row r="4341" spans="45:46" x14ac:dyDescent="0.25">
      <c r="AS4341" s="65"/>
      <c r="AT4341" s="65"/>
    </row>
    <row r="4342" spans="45:46" x14ac:dyDescent="0.25">
      <c r="AS4342" s="65"/>
      <c r="AT4342" s="65"/>
    </row>
    <row r="4343" spans="45:46" x14ac:dyDescent="0.25">
      <c r="AS4343" s="65"/>
      <c r="AT4343" s="65"/>
    </row>
    <row r="4344" spans="45:46" x14ac:dyDescent="0.25">
      <c r="AS4344" s="65"/>
      <c r="AT4344" s="65"/>
    </row>
    <row r="4345" spans="45:46" x14ac:dyDescent="0.25">
      <c r="AS4345" s="65"/>
      <c r="AT4345" s="65"/>
    </row>
    <row r="4346" spans="45:46" x14ac:dyDescent="0.25">
      <c r="AS4346" s="65"/>
      <c r="AT4346" s="65"/>
    </row>
    <row r="4347" spans="45:46" x14ac:dyDescent="0.25">
      <c r="AS4347" s="65"/>
      <c r="AT4347" s="65"/>
    </row>
    <row r="4348" spans="45:46" x14ac:dyDescent="0.25">
      <c r="AS4348" s="65"/>
      <c r="AT4348" s="65"/>
    </row>
    <row r="4349" spans="45:46" x14ac:dyDescent="0.25">
      <c r="AS4349" s="65"/>
      <c r="AT4349" s="65"/>
    </row>
    <row r="4350" spans="45:46" x14ac:dyDescent="0.25">
      <c r="AS4350" s="65"/>
      <c r="AT4350" s="65"/>
    </row>
    <row r="4351" spans="45:46" x14ac:dyDescent="0.25">
      <c r="AS4351" s="65"/>
      <c r="AT4351" s="65"/>
    </row>
    <row r="4352" spans="45:46" x14ac:dyDescent="0.25">
      <c r="AS4352" s="65"/>
      <c r="AT4352" s="65"/>
    </row>
    <row r="4353" spans="45:46" x14ac:dyDescent="0.25">
      <c r="AS4353" s="65"/>
      <c r="AT4353" s="65"/>
    </row>
    <row r="4354" spans="45:46" x14ac:dyDescent="0.25">
      <c r="AS4354" s="65"/>
      <c r="AT4354" s="65"/>
    </row>
    <row r="4355" spans="45:46" x14ac:dyDescent="0.25">
      <c r="AS4355" s="65"/>
      <c r="AT4355" s="65"/>
    </row>
    <row r="4356" spans="45:46" x14ac:dyDescent="0.25">
      <c r="AS4356" s="65"/>
      <c r="AT4356" s="65"/>
    </row>
    <row r="4357" spans="45:46" x14ac:dyDescent="0.25">
      <c r="AS4357" s="65"/>
      <c r="AT4357" s="65"/>
    </row>
    <row r="4358" spans="45:46" x14ac:dyDescent="0.25">
      <c r="AS4358" s="65"/>
      <c r="AT4358" s="65"/>
    </row>
    <row r="4359" spans="45:46" x14ac:dyDescent="0.25">
      <c r="AS4359" s="65"/>
      <c r="AT4359" s="65"/>
    </row>
    <row r="4360" spans="45:46" x14ac:dyDescent="0.25">
      <c r="AS4360" s="65"/>
      <c r="AT4360" s="65"/>
    </row>
    <row r="4361" spans="45:46" x14ac:dyDescent="0.25">
      <c r="AS4361" s="65"/>
      <c r="AT4361" s="65"/>
    </row>
    <row r="4362" spans="45:46" x14ac:dyDescent="0.25">
      <c r="AS4362" s="65"/>
      <c r="AT4362" s="65"/>
    </row>
    <row r="4363" spans="45:46" x14ac:dyDescent="0.25">
      <c r="AS4363" s="65"/>
      <c r="AT4363" s="65"/>
    </row>
    <row r="4364" spans="45:46" x14ac:dyDescent="0.25">
      <c r="AS4364" s="65"/>
      <c r="AT4364" s="65"/>
    </row>
    <row r="4365" spans="45:46" x14ac:dyDescent="0.25">
      <c r="AS4365" s="65"/>
      <c r="AT4365" s="65"/>
    </row>
    <row r="4366" spans="45:46" x14ac:dyDescent="0.25">
      <c r="AS4366" s="65"/>
      <c r="AT4366" s="65"/>
    </row>
    <row r="4367" spans="45:46" x14ac:dyDescent="0.25">
      <c r="AS4367" s="65"/>
      <c r="AT4367" s="65"/>
    </row>
    <row r="4368" spans="45:46" x14ac:dyDescent="0.25">
      <c r="AS4368" s="65"/>
      <c r="AT4368" s="65"/>
    </row>
    <row r="4369" spans="45:46" x14ac:dyDescent="0.25">
      <c r="AS4369" s="65"/>
      <c r="AT4369" s="65"/>
    </row>
    <row r="4370" spans="45:46" x14ac:dyDescent="0.25">
      <c r="AS4370" s="65"/>
      <c r="AT4370" s="65"/>
    </row>
    <row r="4371" spans="45:46" x14ac:dyDescent="0.25">
      <c r="AS4371" s="65"/>
      <c r="AT4371" s="65"/>
    </row>
    <row r="4372" spans="45:46" x14ac:dyDescent="0.25">
      <c r="AS4372" s="65"/>
      <c r="AT4372" s="65"/>
    </row>
    <row r="4373" spans="45:46" x14ac:dyDescent="0.25">
      <c r="AS4373" s="65"/>
      <c r="AT4373" s="65"/>
    </row>
    <row r="4374" spans="45:46" x14ac:dyDescent="0.25">
      <c r="AS4374" s="65"/>
      <c r="AT4374" s="65"/>
    </row>
    <row r="4375" spans="45:46" x14ac:dyDescent="0.25">
      <c r="AS4375" s="65"/>
      <c r="AT4375" s="65"/>
    </row>
    <row r="4376" spans="45:46" x14ac:dyDescent="0.25">
      <c r="AS4376" s="65"/>
      <c r="AT4376" s="65"/>
    </row>
    <row r="4377" spans="45:46" x14ac:dyDescent="0.25">
      <c r="AS4377" s="65"/>
      <c r="AT4377" s="65"/>
    </row>
    <row r="4378" spans="45:46" x14ac:dyDescent="0.25">
      <c r="AS4378" s="65"/>
      <c r="AT4378" s="65"/>
    </row>
    <row r="4379" spans="45:46" x14ac:dyDescent="0.25">
      <c r="AS4379" s="65"/>
      <c r="AT4379" s="65"/>
    </row>
    <row r="4380" spans="45:46" x14ac:dyDescent="0.25">
      <c r="AS4380" s="65"/>
      <c r="AT4380" s="65"/>
    </row>
    <row r="4381" spans="45:46" x14ac:dyDescent="0.25">
      <c r="AS4381" s="65"/>
      <c r="AT4381" s="65"/>
    </row>
    <row r="4382" spans="45:46" x14ac:dyDescent="0.25">
      <c r="AS4382" s="65"/>
      <c r="AT4382" s="65"/>
    </row>
    <row r="4383" spans="45:46" x14ac:dyDescent="0.25">
      <c r="AS4383" s="65"/>
      <c r="AT4383" s="65"/>
    </row>
    <row r="4384" spans="45:46" x14ac:dyDescent="0.25">
      <c r="AS4384" s="65"/>
      <c r="AT4384" s="65"/>
    </row>
    <row r="4385" spans="45:46" x14ac:dyDescent="0.25">
      <c r="AS4385" s="65"/>
      <c r="AT4385" s="65"/>
    </row>
    <row r="4386" spans="45:46" x14ac:dyDescent="0.25">
      <c r="AS4386" s="65"/>
      <c r="AT4386" s="65"/>
    </row>
    <row r="4387" spans="45:46" x14ac:dyDescent="0.25">
      <c r="AS4387" s="65"/>
      <c r="AT4387" s="65"/>
    </row>
    <row r="4388" spans="45:46" x14ac:dyDescent="0.25">
      <c r="AS4388" s="65"/>
      <c r="AT4388" s="65"/>
    </row>
    <row r="4389" spans="45:46" x14ac:dyDescent="0.25">
      <c r="AS4389" s="65"/>
      <c r="AT4389" s="65"/>
    </row>
    <row r="4390" spans="45:46" x14ac:dyDescent="0.25">
      <c r="AS4390" s="65"/>
      <c r="AT4390" s="65"/>
    </row>
    <row r="4391" spans="45:46" x14ac:dyDescent="0.25">
      <c r="AS4391" s="65"/>
      <c r="AT4391" s="65"/>
    </row>
    <row r="4392" spans="45:46" x14ac:dyDescent="0.25">
      <c r="AS4392" s="65"/>
      <c r="AT4392" s="65"/>
    </row>
    <row r="4393" spans="45:46" x14ac:dyDescent="0.25">
      <c r="AS4393" s="65"/>
      <c r="AT4393" s="65"/>
    </row>
    <row r="4394" spans="45:46" x14ac:dyDescent="0.25">
      <c r="AS4394" s="65"/>
      <c r="AT4394" s="65"/>
    </row>
    <row r="4395" spans="45:46" x14ac:dyDescent="0.25">
      <c r="AS4395" s="65"/>
      <c r="AT4395" s="65"/>
    </row>
    <row r="4396" spans="45:46" x14ac:dyDescent="0.25">
      <c r="AS4396" s="65"/>
      <c r="AT4396" s="65"/>
    </row>
    <row r="4397" spans="45:46" x14ac:dyDescent="0.25">
      <c r="AS4397" s="65"/>
      <c r="AT4397" s="65"/>
    </row>
    <row r="4398" spans="45:46" x14ac:dyDescent="0.25">
      <c r="AS4398" s="65"/>
      <c r="AT4398" s="65"/>
    </row>
    <row r="4399" spans="45:46" x14ac:dyDescent="0.25">
      <c r="AS4399" s="65"/>
      <c r="AT4399" s="65"/>
    </row>
    <row r="4400" spans="45:46" x14ac:dyDescent="0.25">
      <c r="AS4400" s="65"/>
      <c r="AT4400" s="65"/>
    </row>
    <row r="4401" spans="45:46" x14ac:dyDescent="0.25">
      <c r="AS4401" s="65"/>
      <c r="AT4401" s="65"/>
    </row>
    <row r="4402" spans="45:46" x14ac:dyDescent="0.25">
      <c r="AS4402" s="65"/>
      <c r="AT4402" s="65"/>
    </row>
    <row r="4403" spans="45:46" x14ac:dyDescent="0.25">
      <c r="AS4403" s="65"/>
      <c r="AT4403" s="65"/>
    </row>
    <row r="4404" spans="45:46" x14ac:dyDescent="0.25">
      <c r="AS4404" s="65"/>
      <c r="AT4404" s="65"/>
    </row>
    <row r="4405" spans="45:46" x14ac:dyDescent="0.25">
      <c r="AS4405" s="65"/>
      <c r="AT4405" s="65"/>
    </row>
    <row r="4406" spans="45:46" x14ac:dyDescent="0.25">
      <c r="AS4406" s="65"/>
      <c r="AT4406" s="65"/>
    </row>
    <row r="4407" spans="45:46" x14ac:dyDescent="0.25">
      <c r="AS4407" s="65"/>
      <c r="AT4407" s="65"/>
    </row>
    <row r="4408" spans="45:46" x14ac:dyDescent="0.25">
      <c r="AS4408" s="65"/>
      <c r="AT4408" s="65"/>
    </row>
    <row r="4409" spans="45:46" x14ac:dyDescent="0.25">
      <c r="AS4409" s="65"/>
      <c r="AT4409" s="65"/>
    </row>
    <row r="4410" spans="45:46" x14ac:dyDescent="0.25">
      <c r="AS4410" s="65"/>
      <c r="AT4410" s="65"/>
    </row>
    <row r="4411" spans="45:46" x14ac:dyDescent="0.25">
      <c r="AS4411" s="65"/>
      <c r="AT4411" s="65"/>
    </row>
    <row r="4412" spans="45:46" x14ac:dyDescent="0.25">
      <c r="AS4412" s="65"/>
      <c r="AT4412" s="65"/>
    </row>
    <row r="4413" spans="45:46" x14ac:dyDescent="0.25">
      <c r="AS4413" s="65"/>
      <c r="AT4413" s="65"/>
    </row>
    <row r="4414" spans="45:46" x14ac:dyDescent="0.25">
      <c r="AS4414" s="65"/>
      <c r="AT4414" s="65"/>
    </row>
    <row r="4415" spans="45:46" x14ac:dyDescent="0.25">
      <c r="AS4415" s="65"/>
      <c r="AT4415" s="65"/>
    </row>
    <row r="4416" spans="45:46" x14ac:dyDescent="0.25">
      <c r="AS4416" s="65"/>
      <c r="AT4416" s="65"/>
    </row>
    <row r="4417" spans="45:46" x14ac:dyDescent="0.25">
      <c r="AS4417" s="65"/>
      <c r="AT4417" s="65"/>
    </row>
    <row r="4418" spans="45:46" x14ac:dyDescent="0.25">
      <c r="AS4418" s="65"/>
      <c r="AT4418" s="65"/>
    </row>
    <row r="4419" spans="45:46" x14ac:dyDescent="0.25">
      <c r="AS4419" s="65"/>
      <c r="AT4419" s="65"/>
    </row>
    <row r="4420" spans="45:46" x14ac:dyDescent="0.25">
      <c r="AS4420" s="65"/>
      <c r="AT4420" s="65"/>
    </row>
    <row r="4421" spans="45:46" x14ac:dyDescent="0.25">
      <c r="AS4421" s="65"/>
      <c r="AT4421" s="65"/>
    </row>
    <row r="4422" spans="45:46" x14ac:dyDescent="0.25">
      <c r="AS4422" s="65"/>
      <c r="AT4422" s="65"/>
    </row>
    <row r="4423" spans="45:46" x14ac:dyDescent="0.25">
      <c r="AS4423" s="65"/>
      <c r="AT4423" s="65"/>
    </row>
    <row r="4424" spans="45:46" x14ac:dyDescent="0.25">
      <c r="AS4424" s="65"/>
      <c r="AT4424" s="65"/>
    </row>
    <row r="4425" spans="45:46" x14ac:dyDescent="0.25">
      <c r="AS4425" s="65"/>
      <c r="AT4425" s="65"/>
    </row>
    <row r="4426" spans="45:46" x14ac:dyDescent="0.25">
      <c r="AS4426" s="65"/>
      <c r="AT4426" s="65"/>
    </row>
    <row r="4427" spans="45:46" x14ac:dyDescent="0.25">
      <c r="AS4427" s="65"/>
      <c r="AT4427" s="65"/>
    </row>
    <row r="4428" spans="45:46" x14ac:dyDescent="0.25">
      <c r="AS4428" s="65"/>
      <c r="AT4428" s="65"/>
    </row>
    <row r="4429" spans="45:46" x14ac:dyDescent="0.25">
      <c r="AS4429" s="65"/>
      <c r="AT4429" s="65"/>
    </row>
    <row r="4430" spans="45:46" x14ac:dyDescent="0.25">
      <c r="AS4430" s="65"/>
      <c r="AT4430" s="65"/>
    </row>
    <row r="4431" spans="45:46" x14ac:dyDescent="0.25">
      <c r="AS4431" s="65"/>
      <c r="AT4431" s="65"/>
    </row>
    <row r="4432" spans="45:46" x14ac:dyDescent="0.25">
      <c r="AS4432" s="65"/>
      <c r="AT4432" s="65"/>
    </row>
    <row r="4433" spans="45:46" x14ac:dyDescent="0.25">
      <c r="AS4433" s="65"/>
      <c r="AT4433" s="65"/>
    </row>
    <row r="4434" spans="45:46" x14ac:dyDescent="0.25">
      <c r="AS4434" s="65"/>
      <c r="AT4434" s="65"/>
    </row>
    <row r="4435" spans="45:46" x14ac:dyDescent="0.25">
      <c r="AS4435" s="65"/>
      <c r="AT4435" s="65"/>
    </row>
    <row r="4436" spans="45:46" x14ac:dyDescent="0.25">
      <c r="AS4436" s="65"/>
      <c r="AT4436" s="65"/>
    </row>
    <row r="4437" spans="45:46" x14ac:dyDescent="0.25">
      <c r="AS4437" s="65"/>
      <c r="AT4437" s="65"/>
    </row>
    <row r="4438" spans="45:46" x14ac:dyDescent="0.25">
      <c r="AS4438" s="65"/>
      <c r="AT4438" s="65"/>
    </row>
    <row r="4439" spans="45:46" x14ac:dyDescent="0.25">
      <c r="AS4439" s="65"/>
      <c r="AT4439" s="65"/>
    </row>
    <row r="4440" spans="45:46" x14ac:dyDescent="0.25">
      <c r="AS4440" s="65"/>
      <c r="AT4440" s="65"/>
    </row>
    <row r="4441" spans="45:46" x14ac:dyDescent="0.25">
      <c r="AS4441" s="65"/>
      <c r="AT4441" s="65"/>
    </row>
    <row r="4442" spans="45:46" x14ac:dyDescent="0.25">
      <c r="AS4442" s="65"/>
      <c r="AT4442" s="65"/>
    </row>
    <row r="4443" spans="45:46" x14ac:dyDescent="0.25">
      <c r="AS4443" s="65"/>
      <c r="AT4443" s="65"/>
    </row>
    <row r="4444" spans="45:46" x14ac:dyDescent="0.25">
      <c r="AS4444" s="65"/>
      <c r="AT4444" s="65"/>
    </row>
    <row r="4445" spans="45:46" x14ac:dyDescent="0.25">
      <c r="AS4445" s="65"/>
      <c r="AT4445" s="65"/>
    </row>
    <row r="4446" spans="45:46" x14ac:dyDescent="0.25">
      <c r="AS4446" s="65"/>
      <c r="AT4446" s="65"/>
    </row>
    <row r="4447" spans="45:46" x14ac:dyDescent="0.25">
      <c r="AS4447" s="65"/>
      <c r="AT4447" s="65"/>
    </row>
    <row r="4448" spans="45:46" x14ac:dyDescent="0.25">
      <c r="AS4448" s="65"/>
      <c r="AT4448" s="65"/>
    </row>
    <row r="4449" spans="45:46" x14ac:dyDescent="0.25">
      <c r="AS4449" s="65"/>
      <c r="AT4449" s="65"/>
    </row>
    <row r="4450" spans="45:46" x14ac:dyDescent="0.25">
      <c r="AS4450" s="65"/>
      <c r="AT4450" s="65"/>
    </row>
    <row r="4451" spans="45:46" x14ac:dyDescent="0.25">
      <c r="AS4451" s="65"/>
      <c r="AT4451" s="65"/>
    </row>
    <row r="4452" spans="45:46" x14ac:dyDescent="0.25">
      <c r="AS4452" s="65"/>
      <c r="AT4452" s="65"/>
    </row>
    <row r="4453" spans="45:46" x14ac:dyDescent="0.25">
      <c r="AS4453" s="65"/>
      <c r="AT4453" s="65"/>
    </row>
    <row r="4454" spans="45:46" x14ac:dyDescent="0.25">
      <c r="AS4454" s="65"/>
      <c r="AT4454" s="65"/>
    </row>
    <row r="4455" spans="45:46" x14ac:dyDescent="0.25">
      <c r="AS4455" s="65"/>
      <c r="AT4455" s="65"/>
    </row>
    <row r="4456" spans="45:46" x14ac:dyDescent="0.25">
      <c r="AS4456" s="65"/>
      <c r="AT4456" s="65"/>
    </row>
    <row r="4457" spans="45:46" x14ac:dyDescent="0.25">
      <c r="AS4457" s="65"/>
      <c r="AT4457" s="65"/>
    </row>
    <row r="4458" spans="45:46" x14ac:dyDescent="0.25">
      <c r="AS4458" s="65"/>
      <c r="AT4458" s="65"/>
    </row>
    <row r="4459" spans="45:46" x14ac:dyDescent="0.25">
      <c r="AS4459" s="65"/>
      <c r="AT4459" s="65"/>
    </row>
    <row r="4460" spans="45:46" x14ac:dyDescent="0.25">
      <c r="AS4460" s="65"/>
      <c r="AT4460" s="65"/>
    </row>
    <row r="4461" spans="45:46" x14ac:dyDescent="0.25">
      <c r="AS4461" s="65"/>
      <c r="AT4461" s="65"/>
    </row>
    <row r="4462" spans="45:46" x14ac:dyDescent="0.25">
      <c r="AS4462" s="65"/>
      <c r="AT4462" s="65"/>
    </row>
    <row r="4463" spans="45:46" x14ac:dyDescent="0.25">
      <c r="AS4463" s="65"/>
      <c r="AT4463" s="65"/>
    </row>
    <row r="4464" spans="45:46" x14ac:dyDescent="0.25">
      <c r="AS4464" s="65"/>
      <c r="AT4464" s="65"/>
    </row>
    <row r="4465" spans="45:46" x14ac:dyDescent="0.25">
      <c r="AS4465" s="65"/>
      <c r="AT4465" s="65"/>
    </row>
    <row r="4466" spans="45:46" x14ac:dyDescent="0.25">
      <c r="AS4466" s="65"/>
      <c r="AT4466" s="65"/>
    </row>
    <row r="4467" spans="45:46" x14ac:dyDescent="0.25">
      <c r="AS4467" s="65"/>
      <c r="AT4467" s="65"/>
    </row>
    <row r="4468" spans="45:46" x14ac:dyDescent="0.25">
      <c r="AS4468" s="65"/>
      <c r="AT4468" s="65"/>
    </row>
    <row r="4469" spans="45:46" x14ac:dyDescent="0.25">
      <c r="AS4469" s="65"/>
      <c r="AT4469" s="65"/>
    </row>
    <row r="4470" spans="45:46" x14ac:dyDescent="0.25">
      <c r="AS4470" s="65"/>
      <c r="AT4470" s="65"/>
    </row>
    <row r="4471" spans="45:46" x14ac:dyDescent="0.25">
      <c r="AS4471" s="65"/>
      <c r="AT4471" s="65"/>
    </row>
    <row r="4472" spans="45:46" x14ac:dyDescent="0.25">
      <c r="AS4472" s="65"/>
      <c r="AT4472" s="65"/>
    </row>
    <row r="4473" spans="45:46" x14ac:dyDescent="0.25">
      <c r="AS4473" s="65"/>
      <c r="AT4473" s="65"/>
    </row>
    <row r="4474" spans="45:46" x14ac:dyDescent="0.25">
      <c r="AS4474" s="65"/>
      <c r="AT4474" s="65"/>
    </row>
    <row r="4475" spans="45:46" x14ac:dyDescent="0.25">
      <c r="AS4475" s="65"/>
      <c r="AT4475" s="65"/>
    </row>
    <row r="4476" spans="45:46" x14ac:dyDescent="0.25">
      <c r="AS4476" s="65"/>
      <c r="AT4476" s="65"/>
    </row>
    <row r="4477" spans="45:46" x14ac:dyDescent="0.25">
      <c r="AS4477" s="65"/>
      <c r="AT4477" s="65"/>
    </row>
    <row r="4478" spans="45:46" x14ac:dyDescent="0.25">
      <c r="AS4478" s="65"/>
      <c r="AT4478" s="65"/>
    </row>
    <row r="4479" spans="45:46" x14ac:dyDescent="0.25">
      <c r="AS4479" s="65"/>
      <c r="AT4479" s="65"/>
    </row>
    <row r="4480" spans="45:46" x14ac:dyDescent="0.25">
      <c r="AS4480" s="65"/>
      <c r="AT4480" s="65"/>
    </row>
    <row r="4481" spans="45:46" x14ac:dyDescent="0.25">
      <c r="AS4481" s="65"/>
      <c r="AT4481" s="65"/>
    </row>
    <row r="4482" spans="45:46" x14ac:dyDescent="0.25">
      <c r="AS4482" s="65"/>
      <c r="AT4482" s="65"/>
    </row>
    <row r="4483" spans="45:46" x14ac:dyDescent="0.25">
      <c r="AS4483" s="65"/>
      <c r="AT4483" s="65"/>
    </row>
    <row r="4484" spans="45:46" x14ac:dyDescent="0.25">
      <c r="AS4484" s="65"/>
      <c r="AT4484" s="65"/>
    </row>
    <row r="4485" spans="45:46" x14ac:dyDescent="0.25">
      <c r="AS4485" s="65"/>
      <c r="AT4485" s="65"/>
    </row>
    <row r="4486" spans="45:46" x14ac:dyDescent="0.25">
      <c r="AS4486" s="65"/>
      <c r="AT4486" s="65"/>
    </row>
    <row r="4487" spans="45:46" x14ac:dyDescent="0.25">
      <c r="AS4487" s="65"/>
      <c r="AT4487" s="65"/>
    </row>
    <row r="4488" spans="45:46" x14ac:dyDescent="0.25">
      <c r="AS4488" s="65"/>
      <c r="AT4488" s="65"/>
    </row>
    <row r="4489" spans="45:46" x14ac:dyDescent="0.25">
      <c r="AS4489" s="65"/>
      <c r="AT4489" s="65"/>
    </row>
    <row r="4490" spans="45:46" x14ac:dyDescent="0.25">
      <c r="AS4490" s="65"/>
      <c r="AT4490" s="65"/>
    </row>
    <row r="4491" spans="45:46" x14ac:dyDescent="0.25">
      <c r="AS4491" s="65"/>
      <c r="AT4491" s="65"/>
    </row>
    <row r="4492" spans="45:46" x14ac:dyDescent="0.25">
      <c r="AS4492" s="65"/>
      <c r="AT4492" s="65"/>
    </row>
    <row r="4493" spans="45:46" x14ac:dyDescent="0.25">
      <c r="AS4493" s="65"/>
      <c r="AT4493" s="65"/>
    </row>
    <row r="4494" spans="45:46" x14ac:dyDescent="0.25">
      <c r="AS4494" s="65"/>
      <c r="AT4494" s="65"/>
    </row>
    <row r="4495" spans="45:46" x14ac:dyDescent="0.25">
      <c r="AS4495" s="65"/>
      <c r="AT4495" s="65"/>
    </row>
    <row r="4496" spans="45:46" x14ac:dyDescent="0.25">
      <c r="AS4496" s="65"/>
      <c r="AT4496" s="65"/>
    </row>
    <row r="4497" spans="45:46" x14ac:dyDescent="0.25">
      <c r="AS4497" s="65"/>
      <c r="AT4497" s="65"/>
    </row>
    <row r="4498" spans="45:46" x14ac:dyDescent="0.25">
      <c r="AS4498" s="65"/>
      <c r="AT4498" s="65"/>
    </row>
    <row r="4499" spans="45:46" x14ac:dyDescent="0.25">
      <c r="AS4499" s="65"/>
      <c r="AT4499" s="65"/>
    </row>
    <row r="4500" spans="45:46" x14ac:dyDescent="0.25">
      <c r="AS4500" s="65"/>
      <c r="AT4500" s="65"/>
    </row>
    <row r="4501" spans="45:46" x14ac:dyDescent="0.25">
      <c r="AS4501" s="65"/>
      <c r="AT4501" s="65"/>
    </row>
    <row r="4502" spans="45:46" x14ac:dyDescent="0.25">
      <c r="AS4502" s="65"/>
      <c r="AT4502" s="65"/>
    </row>
    <row r="4503" spans="45:46" x14ac:dyDescent="0.25">
      <c r="AS4503" s="65"/>
      <c r="AT4503" s="65"/>
    </row>
    <row r="4504" spans="45:46" x14ac:dyDescent="0.25">
      <c r="AS4504" s="65"/>
      <c r="AT4504" s="65"/>
    </row>
    <row r="4505" spans="45:46" x14ac:dyDescent="0.25">
      <c r="AS4505" s="65"/>
      <c r="AT4505" s="65"/>
    </row>
    <row r="4506" spans="45:46" x14ac:dyDescent="0.25">
      <c r="AS4506" s="65"/>
      <c r="AT4506" s="65"/>
    </row>
    <row r="4507" spans="45:46" x14ac:dyDescent="0.25">
      <c r="AS4507" s="65"/>
      <c r="AT4507" s="65"/>
    </row>
    <row r="4508" spans="45:46" x14ac:dyDescent="0.25">
      <c r="AS4508" s="65"/>
      <c r="AT4508" s="65"/>
    </row>
    <row r="4509" spans="45:46" x14ac:dyDescent="0.25">
      <c r="AS4509" s="65"/>
      <c r="AT4509" s="65"/>
    </row>
    <row r="4510" spans="45:46" x14ac:dyDescent="0.25">
      <c r="AS4510" s="65"/>
      <c r="AT4510" s="65"/>
    </row>
    <row r="4511" spans="45:46" x14ac:dyDescent="0.25">
      <c r="AS4511" s="65"/>
      <c r="AT4511" s="65"/>
    </row>
    <row r="4512" spans="45:46" x14ac:dyDescent="0.25">
      <c r="AS4512" s="65"/>
      <c r="AT4512" s="65"/>
    </row>
    <row r="4513" spans="45:46" x14ac:dyDescent="0.25">
      <c r="AS4513" s="65"/>
      <c r="AT4513" s="65"/>
    </row>
    <row r="4514" spans="45:46" x14ac:dyDescent="0.25">
      <c r="AS4514" s="65"/>
      <c r="AT4514" s="65"/>
    </row>
    <row r="4515" spans="45:46" x14ac:dyDescent="0.25">
      <c r="AS4515" s="65"/>
      <c r="AT4515" s="65"/>
    </row>
    <row r="4516" spans="45:46" x14ac:dyDescent="0.25">
      <c r="AS4516" s="65"/>
      <c r="AT4516" s="65"/>
    </row>
    <row r="4517" spans="45:46" x14ac:dyDescent="0.25">
      <c r="AS4517" s="65"/>
      <c r="AT4517" s="65"/>
    </row>
    <row r="4518" spans="45:46" x14ac:dyDescent="0.25">
      <c r="AS4518" s="65"/>
      <c r="AT4518" s="65"/>
    </row>
    <row r="4519" spans="45:46" x14ac:dyDescent="0.25">
      <c r="AS4519" s="65"/>
      <c r="AT4519" s="65"/>
    </row>
    <row r="4520" spans="45:46" x14ac:dyDescent="0.25">
      <c r="AS4520" s="65"/>
      <c r="AT4520" s="65"/>
    </row>
    <row r="4521" spans="45:46" x14ac:dyDescent="0.25">
      <c r="AS4521" s="65"/>
      <c r="AT4521" s="65"/>
    </row>
    <row r="4522" spans="45:46" x14ac:dyDescent="0.25">
      <c r="AS4522" s="65"/>
      <c r="AT4522" s="65"/>
    </row>
    <row r="4523" spans="45:46" x14ac:dyDescent="0.25">
      <c r="AS4523" s="65"/>
      <c r="AT4523" s="65"/>
    </row>
    <row r="4524" spans="45:46" x14ac:dyDescent="0.25">
      <c r="AS4524" s="65"/>
      <c r="AT4524" s="65"/>
    </row>
    <row r="4525" spans="45:46" x14ac:dyDescent="0.25">
      <c r="AS4525" s="65"/>
      <c r="AT4525" s="65"/>
    </row>
    <row r="4526" spans="45:46" x14ac:dyDescent="0.25">
      <c r="AS4526" s="65"/>
      <c r="AT4526" s="65"/>
    </row>
    <row r="4527" spans="45:46" x14ac:dyDescent="0.25">
      <c r="AS4527" s="65"/>
      <c r="AT4527" s="65"/>
    </row>
    <row r="4528" spans="45:46" x14ac:dyDescent="0.25">
      <c r="AS4528" s="65"/>
      <c r="AT4528" s="65"/>
    </row>
    <row r="4529" spans="45:46" x14ac:dyDescent="0.25">
      <c r="AS4529" s="65"/>
      <c r="AT4529" s="65"/>
    </row>
    <row r="4530" spans="45:46" x14ac:dyDescent="0.25">
      <c r="AS4530" s="65"/>
      <c r="AT4530" s="65"/>
    </row>
    <row r="4531" spans="45:46" x14ac:dyDescent="0.25">
      <c r="AS4531" s="65"/>
      <c r="AT4531" s="65"/>
    </row>
    <row r="4532" spans="45:46" x14ac:dyDescent="0.25">
      <c r="AS4532" s="65"/>
      <c r="AT4532" s="65"/>
    </row>
    <row r="4533" spans="45:46" x14ac:dyDescent="0.25">
      <c r="AS4533" s="65"/>
      <c r="AT4533" s="65"/>
    </row>
    <row r="4534" spans="45:46" x14ac:dyDescent="0.25">
      <c r="AS4534" s="65"/>
      <c r="AT4534" s="65"/>
    </row>
    <row r="4535" spans="45:46" x14ac:dyDescent="0.25">
      <c r="AS4535" s="65"/>
      <c r="AT4535" s="65"/>
    </row>
    <row r="4536" spans="45:46" x14ac:dyDescent="0.25">
      <c r="AS4536" s="65"/>
      <c r="AT4536" s="65"/>
    </row>
    <row r="4537" spans="45:46" x14ac:dyDescent="0.25">
      <c r="AS4537" s="65"/>
      <c r="AT4537" s="65"/>
    </row>
    <row r="4538" spans="45:46" x14ac:dyDescent="0.25">
      <c r="AS4538" s="65"/>
      <c r="AT4538" s="65"/>
    </row>
    <row r="4539" spans="45:46" x14ac:dyDescent="0.25">
      <c r="AS4539" s="65"/>
      <c r="AT4539" s="65"/>
    </row>
    <row r="4540" spans="45:46" x14ac:dyDescent="0.25">
      <c r="AS4540" s="65"/>
      <c r="AT4540" s="65"/>
    </row>
    <row r="4541" spans="45:46" x14ac:dyDescent="0.25">
      <c r="AS4541" s="65"/>
      <c r="AT4541" s="65"/>
    </row>
    <row r="4542" spans="45:46" x14ac:dyDescent="0.25">
      <c r="AS4542" s="65"/>
      <c r="AT4542" s="65"/>
    </row>
    <row r="4543" spans="45:46" x14ac:dyDescent="0.25">
      <c r="AS4543" s="65"/>
      <c r="AT4543" s="65"/>
    </row>
    <row r="4544" spans="45:46" x14ac:dyDescent="0.25">
      <c r="AS4544" s="65"/>
      <c r="AT4544" s="65"/>
    </row>
    <row r="4545" spans="45:46" x14ac:dyDescent="0.25">
      <c r="AS4545" s="65"/>
      <c r="AT4545" s="65"/>
    </row>
    <row r="4546" spans="45:46" x14ac:dyDescent="0.25">
      <c r="AS4546" s="65"/>
      <c r="AT4546" s="65"/>
    </row>
    <row r="4547" spans="45:46" x14ac:dyDescent="0.25">
      <c r="AS4547" s="65"/>
      <c r="AT4547" s="65"/>
    </row>
    <row r="4548" spans="45:46" x14ac:dyDescent="0.25">
      <c r="AS4548" s="65"/>
      <c r="AT4548" s="65"/>
    </row>
    <row r="4549" spans="45:46" x14ac:dyDescent="0.25">
      <c r="AS4549" s="65"/>
      <c r="AT4549" s="65"/>
    </row>
    <row r="4550" spans="45:46" x14ac:dyDescent="0.25">
      <c r="AS4550" s="65"/>
      <c r="AT4550" s="65"/>
    </row>
    <row r="4551" spans="45:46" x14ac:dyDescent="0.25">
      <c r="AS4551" s="65"/>
      <c r="AT4551" s="65"/>
    </row>
    <row r="4552" spans="45:46" x14ac:dyDescent="0.25">
      <c r="AS4552" s="65"/>
      <c r="AT4552" s="65"/>
    </row>
    <row r="4553" spans="45:46" x14ac:dyDescent="0.25">
      <c r="AS4553" s="65"/>
      <c r="AT4553" s="65"/>
    </row>
    <row r="4554" spans="45:46" x14ac:dyDescent="0.25">
      <c r="AS4554" s="65"/>
      <c r="AT4554" s="65"/>
    </row>
    <row r="4555" spans="45:46" x14ac:dyDescent="0.25">
      <c r="AS4555" s="65"/>
      <c r="AT4555" s="65"/>
    </row>
    <row r="4556" spans="45:46" x14ac:dyDescent="0.25">
      <c r="AS4556" s="65"/>
      <c r="AT4556" s="65"/>
    </row>
    <row r="4557" spans="45:46" x14ac:dyDescent="0.25">
      <c r="AS4557" s="65"/>
      <c r="AT4557" s="65"/>
    </row>
    <row r="4558" spans="45:46" x14ac:dyDescent="0.25">
      <c r="AS4558" s="65"/>
      <c r="AT4558" s="65"/>
    </row>
    <row r="4559" spans="45:46" x14ac:dyDescent="0.25">
      <c r="AS4559" s="65"/>
      <c r="AT4559" s="65"/>
    </row>
    <row r="4560" spans="45:46" x14ac:dyDescent="0.25">
      <c r="AS4560" s="65"/>
      <c r="AT4560" s="65"/>
    </row>
    <row r="4561" spans="45:46" x14ac:dyDescent="0.25">
      <c r="AS4561" s="65"/>
      <c r="AT4561" s="65"/>
    </row>
    <row r="4562" spans="45:46" x14ac:dyDescent="0.25">
      <c r="AS4562" s="65"/>
      <c r="AT4562" s="65"/>
    </row>
    <row r="4563" spans="45:46" x14ac:dyDescent="0.25">
      <c r="AS4563" s="65"/>
      <c r="AT4563" s="65"/>
    </row>
    <row r="4564" spans="45:46" x14ac:dyDescent="0.25">
      <c r="AS4564" s="65"/>
      <c r="AT4564" s="65"/>
    </row>
    <row r="4565" spans="45:46" x14ac:dyDescent="0.25">
      <c r="AS4565" s="65"/>
      <c r="AT4565" s="65"/>
    </row>
    <row r="4566" spans="45:46" x14ac:dyDescent="0.25">
      <c r="AS4566" s="65"/>
      <c r="AT4566" s="65"/>
    </row>
    <row r="4567" spans="45:46" x14ac:dyDescent="0.25">
      <c r="AS4567" s="65"/>
      <c r="AT4567" s="65"/>
    </row>
    <row r="4568" spans="45:46" x14ac:dyDescent="0.25">
      <c r="AS4568" s="65"/>
      <c r="AT4568" s="65"/>
    </row>
    <row r="4569" spans="45:46" x14ac:dyDescent="0.25">
      <c r="AS4569" s="65"/>
      <c r="AT4569" s="65"/>
    </row>
    <row r="4570" spans="45:46" x14ac:dyDescent="0.25">
      <c r="AS4570" s="65"/>
      <c r="AT4570" s="65"/>
    </row>
    <row r="4571" spans="45:46" x14ac:dyDescent="0.25">
      <c r="AS4571" s="65"/>
      <c r="AT4571" s="65"/>
    </row>
    <row r="4572" spans="45:46" x14ac:dyDescent="0.25">
      <c r="AS4572" s="65"/>
      <c r="AT4572" s="65"/>
    </row>
    <row r="4573" spans="45:46" x14ac:dyDescent="0.25">
      <c r="AS4573" s="65"/>
      <c r="AT4573" s="65"/>
    </row>
    <row r="4574" spans="45:46" x14ac:dyDescent="0.25">
      <c r="AS4574" s="65"/>
      <c r="AT4574" s="65"/>
    </row>
    <row r="4575" spans="45:46" x14ac:dyDescent="0.25">
      <c r="AS4575" s="65"/>
      <c r="AT4575" s="65"/>
    </row>
    <row r="4576" spans="45:46" x14ac:dyDescent="0.25">
      <c r="AS4576" s="65"/>
      <c r="AT4576" s="65"/>
    </row>
    <row r="4577" spans="45:46" x14ac:dyDescent="0.25">
      <c r="AS4577" s="65"/>
      <c r="AT4577" s="65"/>
    </row>
    <row r="4578" spans="45:46" x14ac:dyDescent="0.25">
      <c r="AS4578" s="65"/>
      <c r="AT4578" s="65"/>
    </row>
    <row r="4579" spans="45:46" x14ac:dyDescent="0.25">
      <c r="AS4579" s="65"/>
      <c r="AT4579" s="65"/>
    </row>
    <row r="4580" spans="45:46" x14ac:dyDescent="0.25">
      <c r="AS4580" s="65"/>
      <c r="AT4580" s="65"/>
    </row>
    <row r="4581" spans="45:46" x14ac:dyDescent="0.25">
      <c r="AS4581" s="65"/>
      <c r="AT4581" s="65"/>
    </row>
    <row r="4582" spans="45:46" x14ac:dyDescent="0.25">
      <c r="AS4582" s="65"/>
      <c r="AT4582" s="65"/>
    </row>
    <row r="4583" spans="45:46" x14ac:dyDescent="0.25">
      <c r="AS4583" s="65"/>
      <c r="AT4583" s="65"/>
    </row>
    <row r="4584" spans="45:46" x14ac:dyDescent="0.25">
      <c r="AS4584" s="65"/>
      <c r="AT4584" s="65"/>
    </row>
    <row r="4585" spans="45:46" x14ac:dyDescent="0.25">
      <c r="AS4585" s="65"/>
      <c r="AT4585" s="65"/>
    </row>
    <row r="4586" spans="45:46" x14ac:dyDescent="0.25">
      <c r="AS4586" s="65"/>
      <c r="AT4586" s="65"/>
    </row>
    <row r="4587" spans="45:46" x14ac:dyDescent="0.25">
      <c r="AS4587" s="65"/>
      <c r="AT4587" s="65"/>
    </row>
    <row r="4588" spans="45:46" x14ac:dyDescent="0.25">
      <c r="AS4588" s="65"/>
      <c r="AT4588" s="65"/>
    </row>
    <row r="4589" spans="45:46" x14ac:dyDescent="0.25">
      <c r="AS4589" s="65"/>
      <c r="AT4589" s="65"/>
    </row>
    <row r="4590" spans="45:46" x14ac:dyDescent="0.25">
      <c r="AS4590" s="65"/>
      <c r="AT4590" s="65"/>
    </row>
    <row r="4591" spans="45:46" x14ac:dyDescent="0.25">
      <c r="AS4591" s="65"/>
      <c r="AT4591" s="65"/>
    </row>
    <row r="4592" spans="45:46" x14ac:dyDescent="0.25">
      <c r="AS4592" s="65"/>
      <c r="AT4592" s="65"/>
    </row>
    <row r="4593" spans="45:46" x14ac:dyDescent="0.25">
      <c r="AS4593" s="65"/>
      <c r="AT4593" s="65"/>
    </row>
    <row r="4594" spans="45:46" x14ac:dyDescent="0.25">
      <c r="AS4594" s="65"/>
      <c r="AT4594" s="65"/>
    </row>
    <row r="4595" spans="45:46" x14ac:dyDescent="0.25">
      <c r="AS4595" s="65"/>
      <c r="AT4595" s="65"/>
    </row>
    <row r="4596" spans="45:46" x14ac:dyDescent="0.25">
      <c r="AS4596" s="65"/>
      <c r="AT4596" s="65"/>
    </row>
    <row r="4597" spans="45:46" x14ac:dyDescent="0.25">
      <c r="AS4597" s="65"/>
      <c r="AT4597" s="65"/>
    </row>
    <row r="4598" spans="45:46" x14ac:dyDescent="0.25">
      <c r="AS4598" s="65"/>
      <c r="AT4598" s="65"/>
    </row>
    <row r="4599" spans="45:46" x14ac:dyDescent="0.25">
      <c r="AS4599" s="65"/>
      <c r="AT4599" s="65"/>
    </row>
    <row r="4600" spans="45:46" x14ac:dyDescent="0.25">
      <c r="AS4600" s="65"/>
      <c r="AT4600" s="65"/>
    </row>
    <row r="4601" spans="45:46" x14ac:dyDescent="0.25">
      <c r="AS4601" s="65"/>
      <c r="AT4601" s="65"/>
    </row>
    <row r="4602" spans="45:46" x14ac:dyDescent="0.25">
      <c r="AS4602" s="65"/>
      <c r="AT4602" s="65"/>
    </row>
    <row r="4603" spans="45:46" x14ac:dyDescent="0.25">
      <c r="AS4603" s="65"/>
      <c r="AT4603" s="65"/>
    </row>
    <row r="4604" spans="45:46" x14ac:dyDescent="0.25">
      <c r="AS4604" s="65"/>
      <c r="AT4604" s="65"/>
    </row>
    <row r="4605" spans="45:46" x14ac:dyDescent="0.25">
      <c r="AS4605" s="65"/>
      <c r="AT4605" s="65"/>
    </row>
    <row r="4606" spans="45:46" x14ac:dyDescent="0.25">
      <c r="AS4606" s="65"/>
      <c r="AT4606" s="65"/>
    </row>
    <row r="4607" spans="45:46" x14ac:dyDescent="0.25">
      <c r="AS4607" s="65"/>
      <c r="AT4607" s="65"/>
    </row>
    <row r="4608" spans="45:46" x14ac:dyDescent="0.25">
      <c r="AS4608" s="65"/>
      <c r="AT4608" s="65"/>
    </row>
    <row r="4609" spans="45:46" x14ac:dyDescent="0.25">
      <c r="AS4609" s="65"/>
      <c r="AT4609" s="65"/>
    </row>
    <row r="4610" spans="45:46" x14ac:dyDescent="0.25">
      <c r="AS4610" s="65"/>
      <c r="AT4610" s="65"/>
    </row>
    <row r="4611" spans="45:46" x14ac:dyDescent="0.25">
      <c r="AS4611" s="65"/>
      <c r="AT4611" s="65"/>
    </row>
    <row r="4612" spans="45:46" x14ac:dyDescent="0.25">
      <c r="AS4612" s="65"/>
      <c r="AT4612" s="65"/>
    </row>
    <row r="4613" spans="45:46" x14ac:dyDescent="0.25">
      <c r="AS4613" s="65"/>
      <c r="AT4613" s="65"/>
    </row>
    <row r="4614" spans="45:46" x14ac:dyDescent="0.25">
      <c r="AS4614" s="65"/>
      <c r="AT4614" s="65"/>
    </row>
    <row r="4615" spans="45:46" x14ac:dyDescent="0.25">
      <c r="AS4615" s="65"/>
      <c r="AT4615" s="65"/>
    </row>
    <row r="4616" spans="45:46" x14ac:dyDescent="0.25">
      <c r="AS4616" s="65"/>
      <c r="AT4616" s="65"/>
    </row>
    <row r="4617" spans="45:46" x14ac:dyDescent="0.25">
      <c r="AS4617" s="65"/>
      <c r="AT4617" s="65"/>
    </row>
    <row r="4618" spans="45:46" x14ac:dyDescent="0.25">
      <c r="AS4618" s="65"/>
      <c r="AT4618" s="65"/>
    </row>
    <row r="4619" spans="45:46" x14ac:dyDescent="0.25">
      <c r="AS4619" s="65"/>
      <c r="AT4619" s="65"/>
    </row>
    <row r="4620" spans="45:46" x14ac:dyDescent="0.25">
      <c r="AS4620" s="65"/>
      <c r="AT4620" s="65"/>
    </row>
    <row r="4621" spans="45:46" x14ac:dyDescent="0.25">
      <c r="AS4621" s="65"/>
      <c r="AT4621" s="65"/>
    </row>
    <row r="4622" spans="45:46" x14ac:dyDescent="0.25">
      <c r="AS4622" s="65"/>
      <c r="AT4622" s="65"/>
    </row>
    <row r="4623" spans="45:46" x14ac:dyDescent="0.25">
      <c r="AS4623" s="65"/>
      <c r="AT4623" s="65"/>
    </row>
    <row r="4624" spans="45:46" x14ac:dyDescent="0.25">
      <c r="AS4624" s="65"/>
      <c r="AT4624" s="65"/>
    </row>
    <row r="4625" spans="45:46" x14ac:dyDescent="0.25">
      <c r="AS4625" s="65"/>
      <c r="AT4625" s="65"/>
    </row>
    <row r="4626" spans="45:46" x14ac:dyDescent="0.25">
      <c r="AS4626" s="65"/>
      <c r="AT4626" s="65"/>
    </row>
    <row r="4627" spans="45:46" x14ac:dyDescent="0.25">
      <c r="AS4627" s="65"/>
      <c r="AT4627" s="65"/>
    </row>
    <row r="4628" spans="45:46" x14ac:dyDescent="0.25">
      <c r="AS4628" s="65"/>
      <c r="AT4628" s="65"/>
    </row>
    <row r="4629" spans="45:46" x14ac:dyDescent="0.25">
      <c r="AS4629" s="65"/>
      <c r="AT4629" s="65"/>
    </row>
    <row r="4630" spans="45:46" x14ac:dyDescent="0.25">
      <c r="AS4630" s="65"/>
      <c r="AT4630" s="65"/>
    </row>
    <row r="4631" spans="45:46" x14ac:dyDescent="0.25">
      <c r="AS4631" s="65"/>
      <c r="AT4631" s="65"/>
    </row>
    <row r="4632" spans="45:46" x14ac:dyDescent="0.25">
      <c r="AS4632" s="65"/>
      <c r="AT4632" s="65"/>
    </row>
    <row r="4633" spans="45:46" x14ac:dyDescent="0.25">
      <c r="AS4633" s="65"/>
      <c r="AT4633" s="65"/>
    </row>
    <row r="4634" spans="45:46" x14ac:dyDescent="0.25">
      <c r="AS4634" s="65"/>
      <c r="AT4634" s="65"/>
    </row>
    <row r="4635" spans="45:46" x14ac:dyDescent="0.25">
      <c r="AS4635" s="65"/>
      <c r="AT4635" s="65"/>
    </row>
    <row r="4636" spans="45:46" x14ac:dyDescent="0.25">
      <c r="AS4636" s="65"/>
      <c r="AT4636" s="65"/>
    </row>
    <row r="4637" spans="45:46" x14ac:dyDescent="0.25">
      <c r="AS4637" s="65"/>
      <c r="AT4637" s="65"/>
    </row>
    <row r="4638" spans="45:46" x14ac:dyDescent="0.25">
      <c r="AS4638" s="65"/>
      <c r="AT4638" s="65"/>
    </row>
    <row r="4639" spans="45:46" x14ac:dyDescent="0.25">
      <c r="AS4639" s="65"/>
      <c r="AT4639" s="65"/>
    </row>
    <row r="4640" spans="45:46" x14ac:dyDescent="0.25">
      <c r="AS4640" s="65"/>
      <c r="AT4640" s="65"/>
    </row>
    <row r="4641" spans="45:46" x14ac:dyDescent="0.25">
      <c r="AS4641" s="65"/>
      <c r="AT4641" s="65"/>
    </row>
    <row r="4642" spans="45:46" x14ac:dyDescent="0.25">
      <c r="AS4642" s="65"/>
      <c r="AT4642" s="65"/>
    </row>
    <row r="4643" spans="45:46" x14ac:dyDescent="0.25">
      <c r="AS4643" s="65"/>
      <c r="AT4643" s="65"/>
    </row>
    <row r="4644" spans="45:46" x14ac:dyDescent="0.25">
      <c r="AS4644" s="65"/>
      <c r="AT4644" s="65"/>
    </row>
    <row r="4645" spans="45:46" x14ac:dyDescent="0.25">
      <c r="AS4645" s="65"/>
      <c r="AT4645" s="65"/>
    </row>
    <row r="4646" spans="45:46" x14ac:dyDescent="0.25">
      <c r="AS4646" s="65"/>
      <c r="AT4646" s="65"/>
    </row>
    <row r="4647" spans="45:46" x14ac:dyDescent="0.25">
      <c r="AS4647" s="65"/>
      <c r="AT4647" s="65"/>
    </row>
    <row r="4648" spans="45:46" x14ac:dyDescent="0.25">
      <c r="AS4648" s="65"/>
      <c r="AT4648" s="65"/>
    </row>
    <row r="4649" spans="45:46" x14ac:dyDescent="0.25">
      <c r="AS4649" s="65"/>
      <c r="AT4649" s="65"/>
    </row>
    <row r="4650" spans="45:46" x14ac:dyDescent="0.25">
      <c r="AS4650" s="65"/>
      <c r="AT4650" s="65"/>
    </row>
    <row r="4651" spans="45:46" x14ac:dyDescent="0.25">
      <c r="AS4651" s="65"/>
      <c r="AT4651" s="65"/>
    </row>
    <row r="4652" spans="45:46" x14ac:dyDescent="0.25">
      <c r="AS4652" s="65"/>
      <c r="AT4652" s="65"/>
    </row>
    <row r="4653" spans="45:46" x14ac:dyDescent="0.25">
      <c r="AS4653" s="65"/>
      <c r="AT4653" s="65"/>
    </row>
    <row r="4654" spans="45:46" x14ac:dyDescent="0.25">
      <c r="AS4654" s="65"/>
      <c r="AT4654" s="65"/>
    </row>
    <row r="4655" spans="45:46" x14ac:dyDescent="0.25">
      <c r="AS4655" s="65"/>
      <c r="AT4655" s="65"/>
    </row>
    <row r="4656" spans="45:46" x14ac:dyDescent="0.25">
      <c r="AS4656" s="65"/>
      <c r="AT4656" s="65"/>
    </row>
    <row r="4657" spans="45:46" x14ac:dyDescent="0.25">
      <c r="AS4657" s="65"/>
      <c r="AT4657" s="65"/>
    </row>
    <row r="4658" spans="45:46" x14ac:dyDescent="0.25">
      <c r="AS4658" s="65"/>
      <c r="AT4658" s="65"/>
    </row>
    <row r="4659" spans="45:46" x14ac:dyDescent="0.25">
      <c r="AS4659" s="65"/>
      <c r="AT4659" s="65"/>
    </row>
    <row r="4660" spans="45:46" x14ac:dyDescent="0.25">
      <c r="AS4660" s="65"/>
      <c r="AT4660" s="65"/>
    </row>
    <row r="4661" spans="45:46" x14ac:dyDescent="0.25">
      <c r="AS4661" s="65"/>
      <c r="AT4661" s="65"/>
    </row>
    <row r="4662" spans="45:46" x14ac:dyDescent="0.25">
      <c r="AS4662" s="65"/>
      <c r="AT4662" s="65"/>
    </row>
    <row r="4663" spans="45:46" x14ac:dyDescent="0.25">
      <c r="AS4663" s="65"/>
      <c r="AT4663" s="65"/>
    </row>
    <row r="4664" spans="45:46" x14ac:dyDescent="0.25">
      <c r="AS4664" s="65"/>
      <c r="AT4664" s="65"/>
    </row>
    <row r="4665" spans="45:46" x14ac:dyDescent="0.25">
      <c r="AS4665" s="65"/>
      <c r="AT4665" s="65"/>
    </row>
    <row r="4666" spans="45:46" x14ac:dyDescent="0.25">
      <c r="AS4666" s="65"/>
      <c r="AT4666" s="65"/>
    </row>
    <row r="4667" spans="45:46" x14ac:dyDescent="0.25">
      <c r="AS4667" s="65"/>
      <c r="AT4667" s="65"/>
    </row>
    <row r="4668" spans="45:46" x14ac:dyDescent="0.25">
      <c r="AS4668" s="65"/>
      <c r="AT4668" s="65"/>
    </row>
    <row r="4669" spans="45:46" x14ac:dyDescent="0.25">
      <c r="AS4669" s="65"/>
      <c r="AT4669" s="65"/>
    </row>
    <row r="4670" spans="45:46" x14ac:dyDescent="0.25">
      <c r="AS4670" s="65"/>
      <c r="AT4670" s="65"/>
    </row>
    <row r="4671" spans="45:46" x14ac:dyDescent="0.25">
      <c r="AS4671" s="65"/>
      <c r="AT4671" s="65"/>
    </row>
    <row r="4672" spans="45:46" x14ac:dyDescent="0.25">
      <c r="AS4672" s="65"/>
      <c r="AT4672" s="65"/>
    </row>
    <row r="4673" spans="45:46" x14ac:dyDescent="0.25">
      <c r="AS4673" s="65"/>
      <c r="AT4673" s="65"/>
    </row>
    <row r="4674" spans="45:46" x14ac:dyDescent="0.25">
      <c r="AS4674" s="65"/>
      <c r="AT4674" s="65"/>
    </row>
    <row r="4675" spans="45:46" x14ac:dyDescent="0.25">
      <c r="AS4675" s="65"/>
      <c r="AT4675" s="65"/>
    </row>
    <row r="4676" spans="45:46" x14ac:dyDescent="0.25">
      <c r="AS4676" s="65"/>
      <c r="AT4676" s="65"/>
    </row>
    <row r="4677" spans="45:46" x14ac:dyDescent="0.25">
      <c r="AS4677" s="65"/>
      <c r="AT4677" s="65"/>
    </row>
    <row r="4678" spans="45:46" x14ac:dyDescent="0.25">
      <c r="AS4678" s="65"/>
      <c r="AT4678" s="65"/>
    </row>
    <row r="4679" spans="45:46" x14ac:dyDescent="0.25">
      <c r="AS4679" s="65"/>
      <c r="AT4679" s="65"/>
    </row>
    <row r="4680" spans="45:46" x14ac:dyDescent="0.25">
      <c r="AS4680" s="65"/>
      <c r="AT4680" s="65"/>
    </row>
    <row r="4681" spans="45:46" x14ac:dyDescent="0.25">
      <c r="AS4681" s="65"/>
      <c r="AT4681" s="65"/>
    </row>
    <row r="4682" spans="45:46" x14ac:dyDescent="0.25">
      <c r="AS4682" s="65"/>
      <c r="AT4682" s="65"/>
    </row>
    <row r="4683" spans="45:46" x14ac:dyDescent="0.25">
      <c r="AS4683" s="65"/>
      <c r="AT4683" s="65"/>
    </row>
    <row r="4684" spans="45:46" x14ac:dyDescent="0.25">
      <c r="AS4684" s="65"/>
      <c r="AT4684" s="65"/>
    </row>
    <row r="4685" spans="45:46" x14ac:dyDescent="0.25">
      <c r="AS4685" s="65"/>
      <c r="AT4685" s="65"/>
    </row>
    <row r="4686" spans="45:46" x14ac:dyDescent="0.25">
      <c r="AS4686" s="65"/>
      <c r="AT4686" s="65"/>
    </row>
    <row r="4687" spans="45:46" x14ac:dyDescent="0.25">
      <c r="AS4687" s="65"/>
      <c r="AT4687" s="65"/>
    </row>
    <row r="4688" spans="45:46" x14ac:dyDescent="0.25">
      <c r="AS4688" s="65"/>
      <c r="AT4688" s="65"/>
    </row>
    <row r="4689" spans="45:46" x14ac:dyDescent="0.25">
      <c r="AS4689" s="65"/>
      <c r="AT4689" s="65"/>
    </row>
    <row r="4690" spans="45:46" x14ac:dyDescent="0.25">
      <c r="AS4690" s="65"/>
      <c r="AT4690" s="65"/>
    </row>
    <row r="4691" spans="45:46" x14ac:dyDescent="0.25">
      <c r="AS4691" s="65"/>
      <c r="AT4691" s="65"/>
    </row>
    <row r="4692" spans="45:46" x14ac:dyDescent="0.25">
      <c r="AS4692" s="65"/>
      <c r="AT4692" s="65"/>
    </row>
    <row r="4693" spans="45:46" x14ac:dyDescent="0.25">
      <c r="AS4693" s="65"/>
      <c r="AT4693" s="65"/>
    </row>
    <row r="4694" spans="45:46" x14ac:dyDescent="0.25">
      <c r="AS4694" s="65"/>
      <c r="AT4694" s="65"/>
    </row>
    <row r="4695" spans="45:46" x14ac:dyDescent="0.25">
      <c r="AS4695" s="65"/>
      <c r="AT4695" s="65"/>
    </row>
    <row r="4696" spans="45:46" x14ac:dyDescent="0.25">
      <c r="AS4696" s="65"/>
      <c r="AT4696" s="65"/>
    </row>
    <row r="4697" spans="45:46" x14ac:dyDescent="0.25">
      <c r="AS4697" s="65"/>
      <c r="AT4697" s="65"/>
    </row>
    <row r="4698" spans="45:46" x14ac:dyDescent="0.25">
      <c r="AS4698" s="65"/>
      <c r="AT4698" s="65"/>
    </row>
    <row r="4699" spans="45:46" x14ac:dyDescent="0.25">
      <c r="AS4699" s="65"/>
      <c r="AT4699" s="65"/>
    </row>
    <row r="4700" spans="45:46" x14ac:dyDescent="0.25">
      <c r="AS4700" s="65"/>
      <c r="AT4700" s="65"/>
    </row>
    <row r="4701" spans="45:46" x14ac:dyDescent="0.25">
      <c r="AS4701" s="65"/>
      <c r="AT4701" s="65"/>
    </row>
    <row r="4702" spans="45:46" x14ac:dyDescent="0.25">
      <c r="AS4702" s="65"/>
      <c r="AT4702" s="65"/>
    </row>
    <row r="4703" spans="45:46" x14ac:dyDescent="0.25">
      <c r="AS4703" s="65"/>
      <c r="AT4703" s="65"/>
    </row>
    <row r="4704" spans="45:46" x14ac:dyDescent="0.25">
      <c r="AS4704" s="65"/>
      <c r="AT4704" s="65"/>
    </row>
    <row r="4705" spans="45:46" x14ac:dyDescent="0.25">
      <c r="AS4705" s="65"/>
      <c r="AT4705" s="65"/>
    </row>
    <row r="4706" spans="45:46" x14ac:dyDescent="0.25">
      <c r="AS4706" s="65"/>
      <c r="AT4706" s="65"/>
    </row>
    <row r="4707" spans="45:46" x14ac:dyDescent="0.25">
      <c r="AS4707" s="65"/>
      <c r="AT4707" s="65"/>
    </row>
    <row r="4708" spans="45:46" x14ac:dyDescent="0.25">
      <c r="AS4708" s="65"/>
      <c r="AT4708" s="65"/>
    </row>
    <row r="4709" spans="45:46" x14ac:dyDescent="0.25">
      <c r="AS4709" s="65"/>
      <c r="AT4709" s="65"/>
    </row>
    <row r="4710" spans="45:46" x14ac:dyDescent="0.25">
      <c r="AS4710" s="65"/>
      <c r="AT4710" s="65"/>
    </row>
    <row r="4711" spans="45:46" x14ac:dyDescent="0.25">
      <c r="AS4711" s="65"/>
      <c r="AT4711" s="65"/>
    </row>
    <row r="4712" spans="45:46" x14ac:dyDescent="0.25">
      <c r="AS4712" s="65"/>
      <c r="AT4712" s="65"/>
    </row>
    <row r="4713" spans="45:46" x14ac:dyDescent="0.25">
      <c r="AS4713" s="65"/>
      <c r="AT4713" s="65"/>
    </row>
    <row r="4714" spans="45:46" x14ac:dyDescent="0.25">
      <c r="AS4714" s="65"/>
      <c r="AT4714" s="65"/>
    </row>
    <row r="4715" spans="45:46" x14ac:dyDescent="0.25">
      <c r="AS4715" s="65"/>
      <c r="AT4715" s="65"/>
    </row>
    <row r="4716" spans="45:46" x14ac:dyDescent="0.25">
      <c r="AS4716" s="65"/>
      <c r="AT4716" s="65"/>
    </row>
    <row r="4717" spans="45:46" x14ac:dyDescent="0.25">
      <c r="AS4717" s="65"/>
      <c r="AT4717" s="65"/>
    </row>
    <row r="4718" spans="45:46" x14ac:dyDescent="0.25">
      <c r="AS4718" s="65"/>
      <c r="AT4718" s="65"/>
    </row>
    <row r="4719" spans="45:46" x14ac:dyDescent="0.25">
      <c r="AS4719" s="65"/>
      <c r="AT4719" s="65"/>
    </row>
    <row r="4720" spans="45:46" x14ac:dyDescent="0.25">
      <c r="AS4720" s="65"/>
      <c r="AT4720" s="65"/>
    </row>
    <row r="4721" spans="45:46" x14ac:dyDescent="0.25">
      <c r="AS4721" s="65"/>
      <c r="AT4721" s="65"/>
    </row>
    <row r="4722" spans="45:46" x14ac:dyDescent="0.25">
      <c r="AS4722" s="65"/>
      <c r="AT4722" s="65"/>
    </row>
    <row r="4723" spans="45:46" x14ac:dyDescent="0.25">
      <c r="AS4723" s="65"/>
      <c r="AT4723" s="65"/>
    </row>
    <row r="4724" spans="45:46" x14ac:dyDescent="0.25">
      <c r="AS4724" s="65"/>
      <c r="AT4724" s="65"/>
    </row>
    <row r="4725" spans="45:46" x14ac:dyDescent="0.25">
      <c r="AS4725" s="65"/>
      <c r="AT4725" s="65"/>
    </row>
    <row r="4726" spans="45:46" x14ac:dyDescent="0.25">
      <c r="AS4726" s="65"/>
      <c r="AT4726" s="65"/>
    </row>
    <row r="4727" spans="45:46" x14ac:dyDescent="0.25">
      <c r="AS4727" s="65"/>
      <c r="AT4727" s="65"/>
    </row>
    <row r="4728" spans="45:46" x14ac:dyDescent="0.25">
      <c r="AS4728" s="65"/>
      <c r="AT4728" s="65"/>
    </row>
    <row r="4729" spans="45:46" x14ac:dyDescent="0.25">
      <c r="AS4729" s="65"/>
      <c r="AT4729" s="65"/>
    </row>
    <row r="4730" spans="45:46" x14ac:dyDescent="0.25">
      <c r="AS4730" s="65"/>
      <c r="AT4730" s="65"/>
    </row>
    <row r="4731" spans="45:46" x14ac:dyDescent="0.25">
      <c r="AS4731" s="65"/>
      <c r="AT4731" s="65"/>
    </row>
    <row r="4732" spans="45:46" x14ac:dyDescent="0.25">
      <c r="AS4732" s="65"/>
      <c r="AT4732" s="65"/>
    </row>
    <row r="4733" spans="45:46" x14ac:dyDescent="0.25">
      <c r="AS4733" s="65"/>
      <c r="AT4733" s="65"/>
    </row>
    <row r="4734" spans="45:46" x14ac:dyDescent="0.25">
      <c r="AS4734" s="65"/>
      <c r="AT4734" s="65"/>
    </row>
    <row r="4735" spans="45:46" x14ac:dyDescent="0.25">
      <c r="AS4735" s="65"/>
      <c r="AT4735" s="65"/>
    </row>
    <row r="4736" spans="45:46" x14ac:dyDescent="0.25">
      <c r="AS4736" s="65"/>
      <c r="AT4736" s="65"/>
    </row>
    <row r="4737" spans="45:46" x14ac:dyDescent="0.25">
      <c r="AS4737" s="65"/>
      <c r="AT4737" s="65"/>
    </row>
    <row r="4738" spans="45:46" x14ac:dyDescent="0.25">
      <c r="AS4738" s="65"/>
      <c r="AT4738" s="65"/>
    </row>
    <row r="4739" spans="45:46" x14ac:dyDescent="0.25">
      <c r="AS4739" s="65"/>
      <c r="AT4739" s="65"/>
    </row>
    <row r="4740" spans="45:46" x14ac:dyDescent="0.25">
      <c r="AS4740" s="65"/>
      <c r="AT4740" s="65"/>
    </row>
    <row r="4741" spans="45:46" x14ac:dyDescent="0.25">
      <c r="AS4741" s="65"/>
      <c r="AT4741" s="65"/>
    </row>
    <row r="4742" spans="45:46" x14ac:dyDescent="0.25">
      <c r="AS4742" s="65"/>
      <c r="AT4742" s="65"/>
    </row>
    <row r="4743" spans="45:46" x14ac:dyDescent="0.25">
      <c r="AS4743" s="65"/>
      <c r="AT4743" s="65"/>
    </row>
    <row r="4744" spans="45:46" x14ac:dyDescent="0.25">
      <c r="AS4744" s="65"/>
      <c r="AT4744" s="65"/>
    </row>
    <row r="4745" spans="45:46" x14ac:dyDescent="0.25">
      <c r="AS4745" s="65"/>
      <c r="AT4745" s="65"/>
    </row>
    <row r="4746" spans="45:46" x14ac:dyDescent="0.25">
      <c r="AS4746" s="65"/>
      <c r="AT4746" s="65"/>
    </row>
    <row r="4747" spans="45:46" x14ac:dyDescent="0.25">
      <c r="AS4747" s="65"/>
      <c r="AT4747" s="65"/>
    </row>
    <row r="4748" spans="45:46" x14ac:dyDescent="0.25">
      <c r="AS4748" s="65"/>
      <c r="AT4748" s="65"/>
    </row>
    <row r="4749" spans="45:46" x14ac:dyDescent="0.25">
      <c r="AS4749" s="65"/>
      <c r="AT4749" s="65"/>
    </row>
    <row r="4750" spans="45:46" x14ac:dyDescent="0.25">
      <c r="AS4750" s="65"/>
      <c r="AT4750" s="65"/>
    </row>
    <row r="4751" spans="45:46" x14ac:dyDescent="0.25">
      <c r="AS4751" s="65"/>
      <c r="AT4751" s="65"/>
    </row>
    <row r="4752" spans="45:46" x14ac:dyDescent="0.25">
      <c r="AS4752" s="65"/>
      <c r="AT4752" s="65"/>
    </row>
    <row r="4753" spans="45:46" x14ac:dyDescent="0.25">
      <c r="AS4753" s="65"/>
      <c r="AT4753" s="65"/>
    </row>
    <row r="4754" spans="45:46" x14ac:dyDescent="0.25">
      <c r="AS4754" s="65"/>
      <c r="AT4754" s="65"/>
    </row>
    <row r="4755" spans="45:46" x14ac:dyDescent="0.25">
      <c r="AS4755" s="65"/>
      <c r="AT4755" s="65"/>
    </row>
    <row r="4756" spans="45:46" x14ac:dyDescent="0.25">
      <c r="AS4756" s="65"/>
      <c r="AT4756" s="65"/>
    </row>
    <row r="4757" spans="45:46" x14ac:dyDescent="0.25">
      <c r="AS4757" s="65"/>
      <c r="AT4757" s="65"/>
    </row>
    <row r="4758" spans="45:46" x14ac:dyDescent="0.25">
      <c r="AS4758" s="65"/>
      <c r="AT4758" s="65"/>
    </row>
    <row r="4759" spans="45:46" x14ac:dyDescent="0.25">
      <c r="AS4759" s="65"/>
      <c r="AT4759" s="65"/>
    </row>
    <row r="4760" spans="45:46" x14ac:dyDescent="0.25">
      <c r="AS4760" s="65"/>
      <c r="AT4760" s="65"/>
    </row>
    <row r="4761" spans="45:46" x14ac:dyDescent="0.25">
      <c r="AS4761" s="65"/>
      <c r="AT4761" s="65"/>
    </row>
    <row r="4762" spans="45:46" x14ac:dyDescent="0.25">
      <c r="AS4762" s="65"/>
      <c r="AT4762" s="65"/>
    </row>
    <row r="4763" spans="45:46" x14ac:dyDescent="0.25">
      <c r="AS4763" s="65"/>
      <c r="AT4763" s="65"/>
    </row>
    <row r="4764" spans="45:46" x14ac:dyDescent="0.25">
      <c r="AS4764" s="65"/>
      <c r="AT4764" s="65"/>
    </row>
    <row r="4765" spans="45:46" x14ac:dyDescent="0.25">
      <c r="AS4765" s="65"/>
      <c r="AT4765" s="65"/>
    </row>
    <row r="4766" spans="45:46" x14ac:dyDescent="0.25">
      <c r="AS4766" s="65"/>
      <c r="AT4766" s="65"/>
    </row>
    <row r="4767" spans="45:46" x14ac:dyDescent="0.25">
      <c r="AS4767" s="65"/>
      <c r="AT4767" s="65"/>
    </row>
    <row r="4768" spans="45:46" x14ac:dyDescent="0.25">
      <c r="AS4768" s="65"/>
      <c r="AT4768" s="65"/>
    </row>
    <row r="4769" spans="45:46" x14ac:dyDescent="0.25">
      <c r="AS4769" s="65"/>
      <c r="AT4769" s="65"/>
    </row>
    <row r="4770" spans="45:46" x14ac:dyDescent="0.25">
      <c r="AS4770" s="65"/>
      <c r="AT4770" s="65"/>
    </row>
    <row r="4771" spans="45:46" x14ac:dyDescent="0.25">
      <c r="AS4771" s="65"/>
      <c r="AT4771" s="65"/>
    </row>
    <row r="4772" spans="45:46" x14ac:dyDescent="0.25">
      <c r="AS4772" s="65"/>
      <c r="AT4772" s="65"/>
    </row>
    <row r="4773" spans="45:46" x14ac:dyDescent="0.25">
      <c r="AS4773" s="65"/>
      <c r="AT4773" s="65"/>
    </row>
    <row r="4774" spans="45:46" x14ac:dyDescent="0.25">
      <c r="AS4774" s="65"/>
      <c r="AT4774" s="65"/>
    </row>
    <row r="4775" spans="45:46" x14ac:dyDescent="0.25">
      <c r="AS4775" s="65"/>
      <c r="AT4775" s="65"/>
    </row>
    <row r="4776" spans="45:46" x14ac:dyDescent="0.25">
      <c r="AS4776" s="65"/>
      <c r="AT4776" s="65"/>
    </row>
    <row r="4777" spans="45:46" x14ac:dyDescent="0.25">
      <c r="AS4777" s="65"/>
      <c r="AT4777" s="65"/>
    </row>
    <row r="4778" spans="45:46" x14ac:dyDescent="0.25">
      <c r="AS4778" s="65"/>
      <c r="AT4778" s="65"/>
    </row>
    <row r="4779" spans="45:46" x14ac:dyDescent="0.25">
      <c r="AS4779" s="65"/>
      <c r="AT4779" s="65"/>
    </row>
    <row r="4780" spans="45:46" x14ac:dyDescent="0.25">
      <c r="AS4780" s="65"/>
      <c r="AT4780" s="65"/>
    </row>
    <row r="4781" spans="45:46" x14ac:dyDescent="0.25">
      <c r="AS4781" s="65"/>
      <c r="AT4781" s="65"/>
    </row>
    <row r="4782" spans="45:46" x14ac:dyDescent="0.25">
      <c r="AS4782" s="65"/>
      <c r="AT4782" s="65"/>
    </row>
    <row r="4783" spans="45:46" x14ac:dyDescent="0.25">
      <c r="AS4783" s="65"/>
      <c r="AT4783" s="65"/>
    </row>
    <row r="4784" spans="45:46" x14ac:dyDescent="0.25">
      <c r="AS4784" s="65"/>
      <c r="AT4784" s="65"/>
    </row>
    <row r="4785" spans="45:46" x14ac:dyDescent="0.25">
      <c r="AS4785" s="65"/>
      <c r="AT4785" s="65"/>
    </row>
    <row r="4786" spans="45:46" x14ac:dyDescent="0.25">
      <c r="AS4786" s="65"/>
      <c r="AT4786" s="65"/>
    </row>
    <row r="4787" spans="45:46" x14ac:dyDescent="0.25">
      <c r="AS4787" s="65"/>
      <c r="AT4787" s="65"/>
    </row>
    <row r="4788" spans="45:46" x14ac:dyDescent="0.25">
      <c r="AS4788" s="65"/>
      <c r="AT4788" s="65"/>
    </row>
    <row r="4789" spans="45:46" x14ac:dyDescent="0.25">
      <c r="AS4789" s="65"/>
      <c r="AT4789" s="65"/>
    </row>
    <row r="4790" spans="45:46" x14ac:dyDescent="0.25">
      <c r="AS4790" s="65"/>
      <c r="AT4790" s="65"/>
    </row>
    <row r="4791" spans="45:46" x14ac:dyDescent="0.25">
      <c r="AS4791" s="65"/>
      <c r="AT4791" s="65"/>
    </row>
    <row r="4792" spans="45:46" x14ac:dyDescent="0.25">
      <c r="AS4792" s="65"/>
      <c r="AT4792" s="65"/>
    </row>
    <row r="4793" spans="45:46" x14ac:dyDescent="0.25">
      <c r="AS4793" s="65"/>
      <c r="AT4793" s="65"/>
    </row>
    <row r="4794" spans="45:46" x14ac:dyDescent="0.25">
      <c r="AS4794" s="65"/>
      <c r="AT4794" s="65"/>
    </row>
    <row r="4795" spans="45:46" x14ac:dyDescent="0.25">
      <c r="AS4795" s="65"/>
      <c r="AT4795" s="65"/>
    </row>
    <row r="4796" spans="45:46" x14ac:dyDescent="0.25">
      <c r="AS4796" s="65"/>
      <c r="AT4796" s="65"/>
    </row>
    <row r="4797" spans="45:46" x14ac:dyDescent="0.25">
      <c r="AS4797" s="65"/>
      <c r="AT4797" s="65"/>
    </row>
    <row r="4798" spans="45:46" x14ac:dyDescent="0.25">
      <c r="AS4798" s="65"/>
      <c r="AT4798" s="65"/>
    </row>
    <row r="4799" spans="45:46" x14ac:dyDescent="0.25">
      <c r="AS4799" s="65"/>
      <c r="AT4799" s="65"/>
    </row>
    <row r="4800" spans="45:46" x14ac:dyDescent="0.25">
      <c r="AS4800" s="65"/>
      <c r="AT4800" s="65"/>
    </row>
    <row r="4801" spans="45:46" x14ac:dyDescent="0.25">
      <c r="AS4801" s="65"/>
      <c r="AT4801" s="65"/>
    </row>
    <row r="4802" spans="45:46" x14ac:dyDescent="0.25">
      <c r="AS4802" s="65"/>
      <c r="AT4802" s="65"/>
    </row>
    <row r="4803" spans="45:46" x14ac:dyDescent="0.25">
      <c r="AS4803" s="65"/>
      <c r="AT4803" s="65"/>
    </row>
    <row r="4804" spans="45:46" x14ac:dyDescent="0.25">
      <c r="AS4804" s="65"/>
      <c r="AT4804" s="65"/>
    </row>
    <row r="4805" spans="45:46" x14ac:dyDescent="0.25">
      <c r="AS4805" s="65"/>
      <c r="AT4805" s="65"/>
    </row>
    <row r="4806" spans="45:46" x14ac:dyDescent="0.25">
      <c r="AS4806" s="65"/>
      <c r="AT4806" s="65"/>
    </row>
    <row r="4807" spans="45:46" x14ac:dyDescent="0.25">
      <c r="AS4807" s="65"/>
      <c r="AT4807" s="65"/>
    </row>
    <row r="4808" spans="45:46" x14ac:dyDescent="0.25">
      <c r="AS4808" s="65"/>
      <c r="AT4808" s="65"/>
    </row>
    <row r="4809" spans="45:46" x14ac:dyDescent="0.25">
      <c r="AS4809" s="65"/>
      <c r="AT4809" s="65"/>
    </row>
    <row r="4810" spans="45:46" x14ac:dyDescent="0.25">
      <c r="AS4810" s="65"/>
      <c r="AT4810" s="65"/>
    </row>
    <row r="4811" spans="45:46" x14ac:dyDescent="0.25">
      <c r="AS4811" s="65"/>
      <c r="AT4811" s="65"/>
    </row>
    <row r="4812" spans="45:46" x14ac:dyDescent="0.25">
      <c r="AS4812" s="65"/>
      <c r="AT4812" s="65"/>
    </row>
    <row r="4813" spans="45:46" x14ac:dyDescent="0.25">
      <c r="AS4813" s="65"/>
      <c r="AT4813" s="65"/>
    </row>
    <row r="4814" spans="45:46" x14ac:dyDescent="0.25">
      <c r="AS4814" s="65"/>
      <c r="AT4814" s="65"/>
    </row>
    <row r="4815" spans="45:46" x14ac:dyDescent="0.25">
      <c r="AS4815" s="65"/>
      <c r="AT4815" s="65"/>
    </row>
    <row r="4816" spans="45:46" x14ac:dyDescent="0.25">
      <c r="AS4816" s="65"/>
      <c r="AT4816" s="65"/>
    </row>
    <row r="4817" spans="45:46" x14ac:dyDescent="0.25">
      <c r="AS4817" s="65"/>
      <c r="AT4817" s="65"/>
    </row>
    <row r="4818" spans="45:46" x14ac:dyDescent="0.25">
      <c r="AS4818" s="65"/>
      <c r="AT4818" s="65"/>
    </row>
    <row r="4819" spans="45:46" x14ac:dyDescent="0.25">
      <c r="AS4819" s="65"/>
      <c r="AT4819" s="65"/>
    </row>
    <row r="4820" spans="45:46" x14ac:dyDescent="0.25">
      <c r="AS4820" s="65"/>
      <c r="AT4820" s="65"/>
    </row>
    <row r="4821" spans="45:46" x14ac:dyDescent="0.25">
      <c r="AS4821" s="65"/>
      <c r="AT4821" s="65"/>
    </row>
    <row r="4822" spans="45:46" x14ac:dyDescent="0.25">
      <c r="AS4822" s="65"/>
      <c r="AT4822" s="65"/>
    </row>
    <row r="4823" spans="45:46" x14ac:dyDescent="0.25">
      <c r="AS4823" s="65"/>
      <c r="AT4823" s="65"/>
    </row>
    <row r="4824" spans="45:46" x14ac:dyDescent="0.25">
      <c r="AS4824" s="65"/>
      <c r="AT4824" s="65"/>
    </row>
    <row r="4825" spans="45:46" x14ac:dyDescent="0.25">
      <c r="AS4825" s="65"/>
      <c r="AT4825" s="65"/>
    </row>
    <row r="4826" spans="45:46" x14ac:dyDescent="0.25">
      <c r="AS4826" s="65"/>
      <c r="AT4826" s="65"/>
    </row>
    <row r="4827" spans="45:46" x14ac:dyDescent="0.25">
      <c r="AS4827" s="65"/>
      <c r="AT4827" s="65"/>
    </row>
    <row r="4828" spans="45:46" x14ac:dyDescent="0.25">
      <c r="AS4828" s="65"/>
      <c r="AT4828" s="65"/>
    </row>
    <row r="4829" spans="45:46" x14ac:dyDescent="0.25">
      <c r="AS4829" s="65"/>
      <c r="AT4829" s="65"/>
    </row>
    <row r="4830" spans="45:46" x14ac:dyDescent="0.25">
      <c r="AS4830" s="65"/>
      <c r="AT4830" s="65"/>
    </row>
    <row r="4831" spans="45:46" x14ac:dyDescent="0.25">
      <c r="AS4831" s="65"/>
      <c r="AT4831" s="65"/>
    </row>
    <row r="4832" spans="45:46" x14ac:dyDescent="0.25">
      <c r="AS4832" s="65"/>
      <c r="AT4832" s="65"/>
    </row>
    <row r="4833" spans="45:46" x14ac:dyDescent="0.25">
      <c r="AS4833" s="65"/>
      <c r="AT4833" s="65"/>
    </row>
    <row r="4834" spans="45:46" x14ac:dyDescent="0.25">
      <c r="AS4834" s="65"/>
      <c r="AT4834" s="65"/>
    </row>
    <row r="4835" spans="45:46" x14ac:dyDescent="0.25">
      <c r="AS4835" s="65"/>
      <c r="AT4835" s="65"/>
    </row>
    <row r="4836" spans="45:46" x14ac:dyDescent="0.25">
      <c r="AS4836" s="65"/>
      <c r="AT4836" s="65"/>
    </row>
    <row r="4837" spans="45:46" x14ac:dyDescent="0.25">
      <c r="AS4837" s="65"/>
      <c r="AT4837" s="65"/>
    </row>
    <row r="4838" spans="45:46" x14ac:dyDescent="0.25">
      <c r="AS4838" s="65"/>
      <c r="AT4838" s="65"/>
    </row>
    <row r="4839" spans="45:46" x14ac:dyDescent="0.25">
      <c r="AS4839" s="65"/>
      <c r="AT4839" s="65"/>
    </row>
    <row r="4840" spans="45:46" x14ac:dyDescent="0.25">
      <c r="AS4840" s="65"/>
      <c r="AT4840" s="65"/>
    </row>
    <row r="4841" spans="45:46" x14ac:dyDescent="0.25">
      <c r="AS4841" s="65"/>
      <c r="AT4841" s="65"/>
    </row>
    <row r="4842" spans="45:46" x14ac:dyDescent="0.25">
      <c r="AS4842" s="65"/>
      <c r="AT4842" s="65"/>
    </row>
    <row r="4843" spans="45:46" x14ac:dyDescent="0.25">
      <c r="AS4843" s="65"/>
      <c r="AT4843" s="65"/>
    </row>
    <row r="4844" spans="45:46" x14ac:dyDescent="0.25">
      <c r="AS4844" s="65"/>
      <c r="AT4844" s="65"/>
    </row>
    <row r="4845" spans="45:46" x14ac:dyDescent="0.25">
      <c r="AS4845" s="65"/>
      <c r="AT4845" s="65"/>
    </row>
    <row r="4846" spans="45:46" x14ac:dyDescent="0.25">
      <c r="AS4846" s="65"/>
      <c r="AT4846" s="65"/>
    </row>
    <row r="4847" spans="45:46" x14ac:dyDescent="0.25">
      <c r="AS4847" s="65"/>
      <c r="AT4847" s="65"/>
    </row>
    <row r="4848" spans="45:46" x14ac:dyDescent="0.25">
      <c r="AS4848" s="65"/>
      <c r="AT4848" s="65"/>
    </row>
    <row r="4849" spans="45:46" x14ac:dyDescent="0.25">
      <c r="AS4849" s="65"/>
      <c r="AT4849" s="65"/>
    </row>
    <row r="4850" spans="45:46" x14ac:dyDescent="0.25">
      <c r="AS4850" s="65"/>
      <c r="AT4850" s="65"/>
    </row>
    <row r="4851" spans="45:46" x14ac:dyDescent="0.25">
      <c r="AS4851" s="65"/>
      <c r="AT4851" s="65"/>
    </row>
    <row r="4852" spans="45:46" x14ac:dyDescent="0.25">
      <c r="AS4852" s="65"/>
      <c r="AT4852" s="65"/>
    </row>
    <row r="4853" spans="45:46" x14ac:dyDescent="0.25">
      <c r="AS4853" s="65"/>
      <c r="AT4853" s="65"/>
    </row>
    <row r="4854" spans="45:46" x14ac:dyDescent="0.25">
      <c r="AS4854" s="65"/>
      <c r="AT4854" s="65"/>
    </row>
    <row r="4855" spans="45:46" x14ac:dyDescent="0.25">
      <c r="AS4855" s="65"/>
      <c r="AT4855" s="65"/>
    </row>
    <row r="4856" spans="45:46" x14ac:dyDescent="0.25">
      <c r="AS4856" s="65"/>
      <c r="AT4856" s="65"/>
    </row>
    <row r="4857" spans="45:46" x14ac:dyDescent="0.25">
      <c r="AS4857" s="65"/>
      <c r="AT4857" s="65"/>
    </row>
    <row r="4858" spans="45:46" x14ac:dyDescent="0.25">
      <c r="AS4858" s="65"/>
      <c r="AT4858" s="65"/>
    </row>
    <row r="4859" spans="45:46" x14ac:dyDescent="0.25">
      <c r="AS4859" s="65"/>
      <c r="AT4859" s="65"/>
    </row>
    <row r="4860" spans="45:46" x14ac:dyDescent="0.25">
      <c r="AS4860" s="65"/>
      <c r="AT4860" s="65"/>
    </row>
    <row r="4861" spans="45:46" x14ac:dyDescent="0.25">
      <c r="AS4861" s="65"/>
      <c r="AT4861" s="65"/>
    </row>
    <row r="4862" spans="45:46" x14ac:dyDescent="0.25">
      <c r="AS4862" s="65"/>
      <c r="AT4862" s="65"/>
    </row>
    <row r="4863" spans="45:46" x14ac:dyDescent="0.25">
      <c r="AS4863" s="65"/>
      <c r="AT4863" s="65"/>
    </row>
    <row r="4864" spans="45:46" x14ac:dyDescent="0.25">
      <c r="AS4864" s="65"/>
      <c r="AT4864" s="65"/>
    </row>
    <row r="4865" spans="45:46" x14ac:dyDescent="0.25">
      <c r="AS4865" s="65"/>
      <c r="AT4865" s="65"/>
    </row>
    <row r="4866" spans="45:46" x14ac:dyDescent="0.25">
      <c r="AS4866" s="65"/>
      <c r="AT4866" s="65"/>
    </row>
    <row r="4867" spans="45:46" x14ac:dyDescent="0.25">
      <c r="AS4867" s="65"/>
      <c r="AT4867" s="65"/>
    </row>
    <row r="4868" spans="45:46" x14ac:dyDescent="0.25">
      <c r="AS4868" s="65"/>
      <c r="AT4868" s="65"/>
    </row>
    <row r="4869" spans="45:46" x14ac:dyDescent="0.25">
      <c r="AS4869" s="65"/>
      <c r="AT4869" s="65"/>
    </row>
    <row r="4870" spans="45:46" x14ac:dyDescent="0.25">
      <c r="AS4870" s="65"/>
      <c r="AT4870" s="65"/>
    </row>
    <row r="4871" spans="45:46" x14ac:dyDescent="0.25">
      <c r="AS4871" s="65"/>
      <c r="AT4871" s="65"/>
    </row>
    <row r="4872" spans="45:46" x14ac:dyDescent="0.25">
      <c r="AS4872" s="65"/>
      <c r="AT4872" s="65"/>
    </row>
    <row r="4873" spans="45:46" x14ac:dyDescent="0.25">
      <c r="AS4873" s="65"/>
      <c r="AT4873" s="65"/>
    </row>
    <row r="4874" spans="45:46" x14ac:dyDescent="0.25">
      <c r="AS4874" s="65"/>
      <c r="AT4874" s="65"/>
    </row>
    <row r="4875" spans="45:46" x14ac:dyDescent="0.25">
      <c r="AS4875" s="65"/>
      <c r="AT4875" s="65"/>
    </row>
    <row r="4876" spans="45:46" x14ac:dyDescent="0.25">
      <c r="AS4876" s="65"/>
      <c r="AT4876" s="65"/>
    </row>
    <row r="4877" spans="45:46" x14ac:dyDescent="0.25">
      <c r="AS4877" s="65"/>
      <c r="AT4877" s="65"/>
    </row>
    <row r="4878" spans="45:46" x14ac:dyDescent="0.25">
      <c r="AS4878" s="65"/>
      <c r="AT4878" s="65"/>
    </row>
    <row r="4879" spans="45:46" x14ac:dyDescent="0.25">
      <c r="AS4879" s="65"/>
      <c r="AT4879" s="65"/>
    </row>
    <row r="4880" spans="45:46" x14ac:dyDescent="0.25">
      <c r="AS4880" s="65"/>
      <c r="AT4880" s="65"/>
    </row>
    <row r="4881" spans="45:46" x14ac:dyDescent="0.25">
      <c r="AS4881" s="65"/>
      <c r="AT4881" s="65"/>
    </row>
    <row r="4882" spans="45:46" x14ac:dyDescent="0.25">
      <c r="AS4882" s="65"/>
      <c r="AT4882" s="65"/>
    </row>
    <row r="4883" spans="45:46" x14ac:dyDescent="0.25">
      <c r="AS4883" s="65"/>
      <c r="AT4883" s="65"/>
    </row>
    <row r="4884" spans="45:46" x14ac:dyDescent="0.25">
      <c r="AS4884" s="65"/>
      <c r="AT4884" s="65"/>
    </row>
    <row r="4885" spans="45:46" x14ac:dyDescent="0.25">
      <c r="AS4885" s="65"/>
      <c r="AT4885" s="65"/>
    </row>
    <row r="4886" spans="45:46" x14ac:dyDescent="0.25">
      <c r="AS4886" s="65"/>
      <c r="AT4886" s="65"/>
    </row>
    <row r="4887" spans="45:46" x14ac:dyDescent="0.25">
      <c r="AS4887" s="65"/>
      <c r="AT4887" s="65"/>
    </row>
    <row r="4888" spans="45:46" x14ac:dyDescent="0.25">
      <c r="AS4888" s="65"/>
      <c r="AT4888" s="65"/>
    </row>
    <row r="4889" spans="45:46" x14ac:dyDescent="0.25">
      <c r="AS4889" s="65"/>
      <c r="AT4889" s="65"/>
    </row>
    <row r="4890" spans="45:46" x14ac:dyDescent="0.25">
      <c r="AS4890" s="65"/>
      <c r="AT4890" s="65"/>
    </row>
    <row r="4891" spans="45:46" x14ac:dyDescent="0.25">
      <c r="AS4891" s="65"/>
      <c r="AT4891" s="65"/>
    </row>
    <row r="4892" spans="45:46" x14ac:dyDescent="0.25">
      <c r="AS4892" s="65"/>
      <c r="AT4892" s="65"/>
    </row>
    <row r="4893" spans="45:46" x14ac:dyDescent="0.25">
      <c r="AS4893" s="65"/>
      <c r="AT4893" s="65"/>
    </row>
    <row r="4894" spans="45:46" x14ac:dyDescent="0.25">
      <c r="AS4894" s="65"/>
      <c r="AT4894" s="65"/>
    </row>
    <row r="4895" spans="45:46" x14ac:dyDescent="0.25">
      <c r="AS4895" s="65"/>
      <c r="AT4895" s="65"/>
    </row>
    <row r="4896" spans="45:46" x14ac:dyDescent="0.25">
      <c r="AS4896" s="65"/>
      <c r="AT4896" s="65"/>
    </row>
    <row r="4897" spans="45:46" x14ac:dyDescent="0.25">
      <c r="AS4897" s="65"/>
      <c r="AT4897" s="65"/>
    </row>
    <row r="4898" spans="45:46" x14ac:dyDescent="0.25">
      <c r="AS4898" s="65"/>
      <c r="AT4898" s="65"/>
    </row>
    <row r="4899" spans="45:46" x14ac:dyDescent="0.25">
      <c r="AS4899" s="65"/>
      <c r="AT4899" s="65"/>
    </row>
    <row r="4900" spans="45:46" x14ac:dyDescent="0.25">
      <c r="AS4900" s="65"/>
      <c r="AT4900" s="65"/>
    </row>
    <row r="4901" spans="45:46" x14ac:dyDescent="0.25">
      <c r="AS4901" s="65"/>
      <c r="AT4901" s="65"/>
    </row>
    <row r="4902" spans="45:46" x14ac:dyDescent="0.25">
      <c r="AS4902" s="65"/>
      <c r="AT4902" s="65"/>
    </row>
    <row r="4903" spans="45:46" x14ac:dyDescent="0.25">
      <c r="AS4903" s="65"/>
      <c r="AT4903" s="65"/>
    </row>
    <row r="4904" spans="45:46" x14ac:dyDescent="0.25">
      <c r="AS4904" s="65"/>
      <c r="AT4904" s="65"/>
    </row>
    <row r="4905" spans="45:46" x14ac:dyDescent="0.25">
      <c r="AS4905" s="65"/>
      <c r="AT4905" s="65"/>
    </row>
    <row r="4906" spans="45:46" x14ac:dyDescent="0.25">
      <c r="AS4906" s="65"/>
      <c r="AT4906" s="65"/>
    </row>
    <row r="4907" spans="45:46" x14ac:dyDescent="0.25">
      <c r="AS4907" s="65"/>
      <c r="AT4907" s="65"/>
    </row>
    <row r="4908" spans="45:46" x14ac:dyDescent="0.25">
      <c r="AS4908" s="65"/>
      <c r="AT4908" s="65"/>
    </row>
    <row r="4909" spans="45:46" x14ac:dyDescent="0.25">
      <c r="AS4909" s="65"/>
      <c r="AT4909" s="65"/>
    </row>
    <row r="4910" spans="45:46" x14ac:dyDescent="0.25">
      <c r="AS4910" s="65"/>
      <c r="AT4910" s="65"/>
    </row>
    <row r="4911" spans="45:46" x14ac:dyDescent="0.25">
      <c r="AS4911" s="65"/>
      <c r="AT4911" s="65"/>
    </row>
    <row r="4912" spans="45:46" x14ac:dyDescent="0.25">
      <c r="AS4912" s="65"/>
      <c r="AT4912" s="65"/>
    </row>
    <row r="4913" spans="45:46" x14ac:dyDescent="0.25">
      <c r="AS4913" s="65"/>
      <c r="AT4913" s="65"/>
    </row>
    <row r="4914" spans="45:46" x14ac:dyDescent="0.25">
      <c r="AS4914" s="65"/>
      <c r="AT4914" s="65"/>
    </row>
    <row r="4915" spans="45:46" x14ac:dyDescent="0.25">
      <c r="AS4915" s="65"/>
      <c r="AT4915" s="65"/>
    </row>
    <row r="4916" spans="45:46" x14ac:dyDescent="0.25">
      <c r="AS4916" s="65"/>
      <c r="AT4916" s="65"/>
    </row>
    <row r="4917" spans="45:46" x14ac:dyDescent="0.25">
      <c r="AS4917" s="65"/>
      <c r="AT4917" s="65"/>
    </row>
    <row r="4918" spans="45:46" x14ac:dyDescent="0.25">
      <c r="AS4918" s="65"/>
      <c r="AT4918" s="65"/>
    </row>
    <row r="4919" spans="45:46" x14ac:dyDescent="0.25">
      <c r="AS4919" s="65"/>
      <c r="AT4919" s="65"/>
    </row>
    <row r="4920" spans="45:46" x14ac:dyDescent="0.25">
      <c r="AS4920" s="65"/>
      <c r="AT4920" s="65"/>
    </row>
    <row r="4921" spans="45:46" x14ac:dyDescent="0.25">
      <c r="AS4921" s="65"/>
      <c r="AT4921" s="65"/>
    </row>
    <row r="4922" spans="45:46" x14ac:dyDescent="0.25">
      <c r="AS4922" s="65"/>
      <c r="AT4922" s="65"/>
    </row>
    <row r="4923" spans="45:46" x14ac:dyDescent="0.25">
      <c r="AS4923" s="65"/>
      <c r="AT4923" s="65"/>
    </row>
    <row r="4924" spans="45:46" x14ac:dyDescent="0.25">
      <c r="AS4924" s="65"/>
      <c r="AT4924" s="65"/>
    </row>
    <row r="4925" spans="45:46" x14ac:dyDescent="0.25">
      <c r="AS4925" s="65"/>
      <c r="AT4925" s="65"/>
    </row>
    <row r="4926" spans="45:46" x14ac:dyDescent="0.25">
      <c r="AS4926" s="65"/>
      <c r="AT4926" s="65"/>
    </row>
    <row r="4927" spans="45:46" x14ac:dyDescent="0.25">
      <c r="AS4927" s="65"/>
      <c r="AT4927" s="65"/>
    </row>
    <row r="4928" spans="45:46" x14ac:dyDescent="0.25">
      <c r="AS4928" s="65"/>
      <c r="AT4928" s="65"/>
    </row>
    <row r="4929" spans="45:46" x14ac:dyDescent="0.25">
      <c r="AS4929" s="65"/>
      <c r="AT4929" s="65"/>
    </row>
    <row r="4930" spans="45:46" x14ac:dyDescent="0.25">
      <c r="AS4930" s="65"/>
      <c r="AT4930" s="65"/>
    </row>
    <row r="4931" spans="45:46" x14ac:dyDescent="0.25">
      <c r="AS4931" s="65"/>
      <c r="AT4931" s="65"/>
    </row>
    <row r="4932" spans="45:46" x14ac:dyDescent="0.25">
      <c r="AS4932" s="65"/>
      <c r="AT4932" s="65"/>
    </row>
    <row r="4933" spans="45:46" x14ac:dyDescent="0.25">
      <c r="AS4933" s="65"/>
      <c r="AT4933" s="65"/>
    </row>
    <row r="4934" spans="45:46" x14ac:dyDescent="0.25">
      <c r="AS4934" s="65"/>
      <c r="AT4934" s="65"/>
    </row>
    <row r="4935" spans="45:46" x14ac:dyDescent="0.25">
      <c r="AS4935" s="65"/>
      <c r="AT4935" s="65"/>
    </row>
    <row r="4936" spans="45:46" x14ac:dyDescent="0.25">
      <c r="AS4936" s="65"/>
      <c r="AT4936" s="65"/>
    </row>
    <row r="4937" spans="45:46" x14ac:dyDescent="0.25">
      <c r="AS4937" s="65"/>
      <c r="AT4937" s="65"/>
    </row>
    <row r="4938" spans="45:46" x14ac:dyDescent="0.25">
      <c r="AS4938" s="65"/>
      <c r="AT4938" s="65"/>
    </row>
    <row r="4939" spans="45:46" x14ac:dyDescent="0.25">
      <c r="AS4939" s="65"/>
      <c r="AT4939" s="65"/>
    </row>
    <row r="4940" spans="45:46" x14ac:dyDescent="0.25">
      <c r="AS4940" s="65"/>
      <c r="AT4940" s="65"/>
    </row>
    <row r="4941" spans="45:46" x14ac:dyDescent="0.25">
      <c r="AS4941" s="65"/>
      <c r="AT4941" s="65"/>
    </row>
    <row r="4942" spans="45:46" x14ac:dyDescent="0.25">
      <c r="AS4942" s="65"/>
      <c r="AT4942" s="65"/>
    </row>
    <row r="4943" spans="45:46" x14ac:dyDescent="0.25">
      <c r="AS4943" s="65"/>
      <c r="AT4943" s="65"/>
    </row>
    <row r="4944" spans="45:46" x14ac:dyDescent="0.25">
      <c r="AS4944" s="65"/>
      <c r="AT4944" s="65"/>
    </row>
    <row r="4945" spans="45:46" x14ac:dyDescent="0.25">
      <c r="AS4945" s="65"/>
      <c r="AT4945" s="65"/>
    </row>
    <row r="4946" spans="45:46" x14ac:dyDescent="0.25">
      <c r="AS4946" s="65"/>
      <c r="AT4946" s="65"/>
    </row>
    <row r="4947" spans="45:46" x14ac:dyDescent="0.25">
      <c r="AS4947" s="65"/>
      <c r="AT4947" s="65"/>
    </row>
    <row r="4948" spans="45:46" x14ac:dyDescent="0.25">
      <c r="AS4948" s="65"/>
      <c r="AT4948" s="65"/>
    </row>
    <row r="4949" spans="45:46" x14ac:dyDescent="0.25">
      <c r="AS4949" s="65"/>
      <c r="AT4949" s="65"/>
    </row>
    <row r="4950" spans="45:46" x14ac:dyDescent="0.25">
      <c r="AS4950" s="65"/>
      <c r="AT4950" s="65"/>
    </row>
    <row r="4951" spans="45:46" x14ac:dyDescent="0.25">
      <c r="AS4951" s="65"/>
      <c r="AT4951" s="65"/>
    </row>
    <row r="4952" spans="45:46" x14ac:dyDescent="0.25">
      <c r="AS4952" s="65"/>
      <c r="AT4952" s="65"/>
    </row>
    <row r="4953" spans="45:46" x14ac:dyDescent="0.25">
      <c r="AS4953" s="65"/>
      <c r="AT4953" s="65"/>
    </row>
    <row r="4954" spans="45:46" x14ac:dyDescent="0.25">
      <c r="AS4954" s="65"/>
      <c r="AT4954" s="65"/>
    </row>
    <row r="4955" spans="45:46" x14ac:dyDescent="0.25">
      <c r="AS4955" s="65"/>
      <c r="AT4955" s="65"/>
    </row>
    <row r="4956" spans="45:46" x14ac:dyDescent="0.25">
      <c r="AS4956" s="65"/>
      <c r="AT4956" s="65"/>
    </row>
    <row r="4957" spans="45:46" x14ac:dyDescent="0.25">
      <c r="AS4957" s="65"/>
      <c r="AT4957" s="65"/>
    </row>
    <row r="4958" spans="45:46" x14ac:dyDescent="0.25">
      <c r="AS4958" s="65"/>
      <c r="AT4958" s="65"/>
    </row>
    <row r="4959" spans="45:46" x14ac:dyDescent="0.25">
      <c r="AS4959" s="65"/>
      <c r="AT4959" s="65"/>
    </row>
    <row r="4960" spans="45:46" x14ac:dyDescent="0.25">
      <c r="AS4960" s="65"/>
      <c r="AT4960" s="65"/>
    </row>
    <row r="4961" spans="45:46" x14ac:dyDescent="0.25">
      <c r="AS4961" s="65"/>
      <c r="AT4961" s="65"/>
    </row>
    <row r="4962" spans="45:46" x14ac:dyDescent="0.25">
      <c r="AS4962" s="65"/>
      <c r="AT4962" s="65"/>
    </row>
    <row r="4963" spans="45:46" x14ac:dyDescent="0.25">
      <c r="AS4963" s="65"/>
      <c r="AT4963" s="65"/>
    </row>
    <row r="4964" spans="45:46" x14ac:dyDescent="0.25">
      <c r="AS4964" s="65"/>
      <c r="AT4964" s="65"/>
    </row>
    <row r="4965" spans="45:46" x14ac:dyDescent="0.25">
      <c r="AS4965" s="65"/>
      <c r="AT4965" s="65"/>
    </row>
    <row r="4966" spans="45:46" x14ac:dyDescent="0.25">
      <c r="AS4966" s="65"/>
      <c r="AT4966" s="65"/>
    </row>
    <row r="4967" spans="45:46" x14ac:dyDescent="0.25">
      <c r="AS4967" s="65"/>
      <c r="AT4967" s="65"/>
    </row>
    <row r="4968" spans="45:46" x14ac:dyDescent="0.25">
      <c r="AS4968" s="65"/>
      <c r="AT4968" s="65"/>
    </row>
    <row r="4969" spans="45:46" x14ac:dyDescent="0.25">
      <c r="AS4969" s="65"/>
      <c r="AT4969" s="65"/>
    </row>
    <row r="4970" spans="45:46" x14ac:dyDescent="0.25">
      <c r="AS4970" s="65"/>
      <c r="AT4970" s="65"/>
    </row>
    <row r="4971" spans="45:46" x14ac:dyDescent="0.25">
      <c r="AS4971" s="65"/>
      <c r="AT4971" s="65"/>
    </row>
    <row r="4972" spans="45:46" x14ac:dyDescent="0.25">
      <c r="AS4972" s="65"/>
      <c r="AT4972" s="65"/>
    </row>
    <row r="4973" spans="45:46" x14ac:dyDescent="0.25">
      <c r="AS4973" s="65"/>
      <c r="AT4973" s="65"/>
    </row>
    <row r="4974" spans="45:46" x14ac:dyDescent="0.25">
      <c r="AS4974" s="65"/>
      <c r="AT4974" s="65"/>
    </row>
    <row r="4975" spans="45:46" x14ac:dyDescent="0.25">
      <c r="AS4975" s="65"/>
      <c r="AT4975" s="65"/>
    </row>
    <row r="4976" spans="45:46" x14ac:dyDescent="0.25">
      <c r="AS4976" s="65"/>
      <c r="AT4976" s="65"/>
    </row>
    <row r="4977" spans="45:46" x14ac:dyDescent="0.25">
      <c r="AS4977" s="65"/>
      <c r="AT4977" s="65"/>
    </row>
    <row r="4978" spans="45:46" x14ac:dyDescent="0.25">
      <c r="AS4978" s="65"/>
      <c r="AT4978" s="65"/>
    </row>
    <row r="4979" spans="45:46" x14ac:dyDescent="0.25">
      <c r="AS4979" s="65"/>
      <c r="AT4979" s="65"/>
    </row>
    <row r="4980" spans="45:46" x14ac:dyDescent="0.25">
      <c r="AS4980" s="65"/>
      <c r="AT4980" s="65"/>
    </row>
    <row r="4981" spans="45:46" x14ac:dyDescent="0.25">
      <c r="AS4981" s="65"/>
      <c r="AT4981" s="65"/>
    </row>
    <row r="4982" spans="45:46" x14ac:dyDescent="0.25">
      <c r="AS4982" s="65"/>
      <c r="AT4982" s="65"/>
    </row>
    <row r="4983" spans="45:46" x14ac:dyDescent="0.25">
      <c r="AS4983" s="65"/>
      <c r="AT4983" s="65"/>
    </row>
    <row r="4984" spans="45:46" x14ac:dyDescent="0.25">
      <c r="AS4984" s="65"/>
      <c r="AT4984" s="65"/>
    </row>
    <row r="4985" spans="45:46" x14ac:dyDescent="0.25">
      <c r="AS4985" s="65"/>
      <c r="AT4985" s="65"/>
    </row>
    <row r="4986" spans="45:46" x14ac:dyDescent="0.25">
      <c r="AS4986" s="65"/>
      <c r="AT4986" s="65"/>
    </row>
    <row r="4987" spans="45:46" x14ac:dyDescent="0.25">
      <c r="AS4987" s="65"/>
      <c r="AT4987" s="65"/>
    </row>
    <row r="4988" spans="45:46" x14ac:dyDescent="0.25">
      <c r="AS4988" s="65"/>
      <c r="AT4988" s="65"/>
    </row>
    <row r="4989" spans="45:46" x14ac:dyDescent="0.25">
      <c r="AS4989" s="65"/>
      <c r="AT4989" s="65"/>
    </row>
    <row r="4990" spans="45:46" x14ac:dyDescent="0.25">
      <c r="AS4990" s="65"/>
      <c r="AT4990" s="65"/>
    </row>
    <row r="4991" spans="45:46" x14ac:dyDescent="0.25">
      <c r="AS4991" s="65"/>
      <c r="AT4991" s="65"/>
    </row>
    <row r="4992" spans="45:46" x14ac:dyDescent="0.25">
      <c r="AS4992" s="65"/>
      <c r="AT4992" s="65"/>
    </row>
    <row r="4993" spans="45:46" x14ac:dyDescent="0.25">
      <c r="AS4993" s="65"/>
      <c r="AT4993" s="65"/>
    </row>
    <row r="4994" spans="45:46" x14ac:dyDescent="0.25">
      <c r="AS4994" s="65"/>
      <c r="AT4994" s="65"/>
    </row>
    <row r="4995" spans="45:46" x14ac:dyDescent="0.25">
      <c r="AS4995" s="65"/>
      <c r="AT4995" s="65"/>
    </row>
    <row r="4996" spans="45:46" x14ac:dyDescent="0.25">
      <c r="AS4996" s="65"/>
      <c r="AT4996" s="65"/>
    </row>
    <row r="4997" spans="45:46" x14ac:dyDescent="0.25">
      <c r="AS4997" s="65"/>
      <c r="AT4997" s="65"/>
    </row>
    <row r="4998" spans="45:46" x14ac:dyDescent="0.25">
      <c r="AS4998" s="65"/>
      <c r="AT4998" s="65"/>
    </row>
    <row r="4999" spans="45:46" x14ac:dyDescent="0.25">
      <c r="AS4999" s="65"/>
      <c r="AT4999" s="65"/>
    </row>
    <row r="5000" spans="45:46" x14ac:dyDescent="0.25">
      <c r="AS5000" s="65"/>
      <c r="AT5000" s="65"/>
    </row>
    <row r="5001" spans="45:46" x14ac:dyDescent="0.25">
      <c r="AS5001" s="65"/>
      <c r="AT5001" s="65"/>
    </row>
    <row r="5002" spans="45:46" x14ac:dyDescent="0.25">
      <c r="AS5002" s="65"/>
      <c r="AT5002" s="65"/>
    </row>
    <row r="5003" spans="45:46" x14ac:dyDescent="0.25">
      <c r="AS5003" s="65"/>
      <c r="AT5003" s="65"/>
    </row>
    <row r="5004" spans="45:46" x14ac:dyDescent="0.25">
      <c r="AS5004" s="65"/>
      <c r="AT5004" s="65"/>
    </row>
    <row r="5005" spans="45:46" x14ac:dyDescent="0.25">
      <c r="AS5005" s="65"/>
      <c r="AT5005" s="65"/>
    </row>
    <row r="5006" spans="45:46" x14ac:dyDescent="0.25">
      <c r="AS5006" s="65"/>
      <c r="AT5006" s="65"/>
    </row>
    <row r="5007" spans="45:46" x14ac:dyDescent="0.25">
      <c r="AS5007" s="65"/>
      <c r="AT5007" s="65"/>
    </row>
    <row r="5008" spans="45:46" x14ac:dyDescent="0.25">
      <c r="AS5008" s="65"/>
      <c r="AT5008" s="65"/>
    </row>
    <row r="5009" spans="45:46" x14ac:dyDescent="0.25">
      <c r="AS5009" s="65"/>
      <c r="AT5009" s="65"/>
    </row>
    <row r="5010" spans="45:46" x14ac:dyDescent="0.25">
      <c r="AS5010" s="65"/>
      <c r="AT5010" s="65"/>
    </row>
    <row r="5011" spans="45:46" x14ac:dyDescent="0.25">
      <c r="AS5011" s="65"/>
      <c r="AT5011" s="65"/>
    </row>
    <row r="5012" spans="45:46" x14ac:dyDescent="0.25">
      <c r="AS5012" s="65"/>
      <c r="AT5012" s="65"/>
    </row>
    <row r="5013" spans="45:46" x14ac:dyDescent="0.25">
      <c r="AS5013" s="65"/>
      <c r="AT5013" s="65"/>
    </row>
    <row r="5014" spans="45:46" x14ac:dyDescent="0.25">
      <c r="AS5014" s="65"/>
      <c r="AT5014" s="65"/>
    </row>
    <row r="5015" spans="45:46" x14ac:dyDescent="0.25">
      <c r="AS5015" s="65"/>
      <c r="AT5015" s="65"/>
    </row>
    <row r="5016" spans="45:46" x14ac:dyDescent="0.25">
      <c r="AS5016" s="65"/>
      <c r="AT5016" s="65"/>
    </row>
    <row r="5017" spans="45:46" x14ac:dyDescent="0.25">
      <c r="AS5017" s="65"/>
      <c r="AT5017" s="65"/>
    </row>
    <row r="5018" spans="45:46" x14ac:dyDescent="0.25">
      <c r="AS5018" s="65"/>
      <c r="AT5018" s="65"/>
    </row>
    <row r="5019" spans="45:46" x14ac:dyDescent="0.25">
      <c r="AS5019" s="65"/>
      <c r="AT5019" s="65"/>
    </row>
    <row r="5020" spans="45:46" x14ac:dyDescent="0.25">
      <c r="AS5020" s="65"/>
      <c r="AT5020" s="65"/>
    </row>
    <row r="5021" spans="45:46" x14ac:dyDescent="0.25">
      <c r="AS5021" s="65"/>
      <c r="AT5021" s="65"/>
    </row>
    <row r="5022" spans="45:46" x14ac:dyDescent="0.25">
      <c r="AS5022" s="65"/>
      <c r="AT5022" s="65"/>
    </row>
    <row r="5023" spans="45:46" x14ac:dyDescent="0.25">
      <c r="AS5023" s="65"/>
      <c r="AT5023" s="65"/>
    </row>
    <row r="5024" spans="45:46" x14ac:dyDescent="0.25">
      <c r="AS5024" s="65"/>
      <c r="AT5024" s="65"/>
    </row>
    <row r="5025" spans="45:46" x14ac:dyDescent="0.25">
      <c r="AS5025" s="65"/>
      <c r="AT5025" s="65"/>
    </row>
    <row r="5026" spans="45:46" x14ac:dyDescent="0.25">
      <c r="AS5026" s="65"/>
      <c r="AT5026" s="65"/>
    </row>
    <row r="5027" spans="45:46" x14ac:dyDescent="0.25">
      <c r="AS5027" s="65"/>
      <c r="AT5027" s="65"/>
    </row>
    <row r="5028" spans="45:46" x14ac:dyDescent="0.25">
      <c r="AS5028" s="65"/>
      <c r="AT5028" s="65"/>
    </row>
    <row r="5029" spans="45:46" x14ac:dyDescent="0.25">
      <c r="AS5029" s="65"/>
      <c r="AT5029" s="65"/>
    </row>
    <row r="5030" spans="45:46" x14ac:dyDescent="0.25">
      <c r="AS5030" s="65"/>
      <c r="AT5030" s="65"/>
    </row>
    <row r="5031" spans="45:46" x14ac:dyDescent="0.25">
      <c r="AS5031" s="65"/>
      <c r="AT5031" s="65"/>
    </row>
    <row r="5032" spans="45:46" x14ac:dyDescent="0.25">
      <c r="AS5032" s="65"/>
      <c r="AT5032" s="65"/>
    </row>
    <row r="5033" spans="45:46" x14ac:dyDescent="0.25">
      <c r="AS5033" s="65"/>
      <c r="AT5033" s="65"/>
    </row>
    <row r="5034" spans="45:46" x14ac:dyDescent="0.25">
      <c r="AS5034" s="65"/>
      <c r="AT5034" s="65"/>
    </row>
    <row r="5035" spans="45:46" x14ac:dyDescent="0.25">
      <c r="AS5035" s="65"/>
      <c r="AT5035" s="65"/>
    </row>
    <row r="5036" spans="45:46" x14ac:dyDescent="0.25">
      <c r="AS5036" s="65"/>
      <c r="AT5036" s="65"/>
    </row>
    <row r="5037" spans="45:46" x14ac:dyDescent="0.25">
      <c r="AS5037" s="65"/>
      <c r="AT5037" s="65"/>
    </row>
    <row r="5038" spans="45:46" x14ac:dyDescent="0.25">
      <c r="AS5038" s="65"/>
      <c r="AT5038" s="65"/>
    </row>
    <row r="5039" spans="45:46" x14ac:dyDescent="0.25">
      <c r="AS5039" s="65"/>
      <c r="AT5039" s="65"/>
    </row>
    <row r="5040" spans="45:46" x14ac:dyDescent="0.25">
      <c r="AS5040" s="65"/>
      <c r="AT5040" s="65"/>
    </row>
    <row r="5041" spans="45:46" x14ac:dyDescent="0.25">
      <c r="AS5041" s="65"/>
      <c r="AT5041" s="65"/>
    </row>
    <row r="5042" spans="45:46" x14ac:dyDescent="0.25">
      <c r="AS5042" s="65"/>
      <c r="AT5042" s="65"/>
    </row>
    <row r="5043" spans="45:46" x14ac:dyDescent="0.25">
      <c r="AS5043" s="65"/>
      <c r="AT5043" s="65"/>
    </row>
    <row r="5044" spans="45:46" x14ac:dyDescent="0.25">
      <c r="AS5044" s="65"/>
      <c r="AT5044" s="65"/>
    </row>
    <row r="5045" spans="45:46" x14ac:dyDescent="0.25">
      <c r="AS5045" s="65"/>
      <c r="AT5045" s="65"/>
    </row>
    <row r="5046" spans="45:46" x14ac:dyDescent="0.25">
      <c r="AS5046" s="65"/>
      <c r="AT5046" s="65"/>
    </row>
    <row r="5047" spans="45:46" x14ac:dyDescent="0.25">
      <c r="AS5047" s="65"/>
      <c r="AT5047" s="65"/>
    </row>
    <row r="5048" spans="45:46" x14ac:dyDescent="0.25">
      <c r="AS5048" s="65"/>
      <c r="AT5048" s="65"/>
    </row>
    <row r="5049" spans="45:46" x14ac:dyDescent="0.25">
      <c r="AS5049" s="65"/>
      <c r="AT5049" s="65"/>
    </row>
    <row r="5050" spans="45:46" x14ac:dyDescent="0.25">
      <c r="AS5050" s="65"/>
      <c r="AT5050" s="65"/>
    </row>
    <row r="5051" spans="45:46" x14ac:dyDescent="0.25">
      <c r="AS5051" s="65"/>
      <c r="AT5051" s="65"/>
    </row>
    <row r="5052" spans="45:46" x14ac:dyDescent="0.25">
      <c r="AS5052" s="65"/>
      <c r="AT5052" s="65"/>
    </row>
    <row r="5053" spans="45:46" x14ac:dyDescent="0.25">
      <c r="AS5053" s="65"/>
      <c r="AT5053" s="65"/>
    </row>
    <row r="5054" spans="45:46" x14ac:dyDescent="0.25">
      <c r="AS5054" s="65"/>
      <c r="AT5054" s="65"/>
    </row>
    <row r="5055" spans="45:46" x14ac:dyDescent="0.25">
      <c r="AS5055" s="65"/>
      <c r="AT5055" s="65"/>
    </row>
    <row r="5056" spans="45:46" x14ac:dyDescent="0.25">
      <c r="AS5056" s="65"/>
      <c r="AT5056" s="65"/>
    </row>
    <row r="5057" spans="45:46" x14ac:dyDescent="0.25">
      <c r="AS5057" s="65"/>
      <c r="AT5057" s="65"/>
    </row>
    <row r="5058" spans="45:46" x14ac:dyDescent="0.25">
      <c r="AS5058" s="65"/>
      <c r="AT5058" s="65"/>
    </row>
    <row r="5059" spans="45:46" x14ac:dyDescent="0.25">
      <c r="AS5059" s="65"/>
      <c r="AT5059" s="65"/>
    </row>
    <row r="5060" spans="45:46" x14ac:dyDescent="0.25">
      <c r="AS5060" s="65"/>
      <c r="AT5060" s="65"/>
    </row>
    <row r="5061" spans="45:46" x14ac:dyDescent="0.25">
      <c r="AS5061" s="65"/>
      <c r="AT5061" s="65"/>
    </row>
    <row r="5062" spans="45:46" x14ac:dyDescent="0.25">
      <c r="AS5062" s="65"/>
      <c r="AT5062" s="65"/>
    </row>
    <row r="5063" spans="45:46" x14ac:dyDescent="0.25">
      <c r="AS5063" s="65"/>
      <c r="AT5063" s="65"/>
    </row>
    <row r="5064" spans="45:46" x14ac:dyDescent="0.25">
      <c r="AS5064" s="65"/>
      <c r="AT5064" s="65"/>
    </row>
    <row r="5065" spans="45:46" x14ac:dyDescent="0.25">
      <c r="AS5065" s="65"/>
      <c r="AT5065" s="65"/>
    </row>
    <row r="5066" spans="45:46" x14ac:dyDescent="0.25">
      <c r="AS5066" s="65"/>
      <c r="AT5066" s="65"/>
    </row>
    <row r="5067" spans="45:46" x14ac:dyDescent="0.25">
      <c r="AS5067" s="65"/>
      <c r="AT5067" s="65"/>
    </row>
    <row r="5068" spans="45:46" x14ac:dyDescent="0.25">
      <c r="AS5068" s="65"/>
      <c r="AT5068" s="65"/>
    </row>
    <row r="5069" spans="45:46" x14ac:dyDescent="0.25">
      <c r="AS5069" s="65"/>
      <c r="AT5069" s="65"/>
    </row>
    <row r="5070" spans="45:46" x14ac:dyDescent="0.25">
      <c r="AS5070" s="65"/>
      <c r="AT5070" s="65"/>
    </row>
    <row r="5071" spans="45:46" x14ac:dyDescent="0.25">
      <c r="AS5071" s="65"/>
      <c r="AT5071" s="65"/>
    </row>
    <row r="5072" spans="45:46" x14ac:dyDescent="0.25">
      <c r="AS5072" s="65"/>
      <c r="AT5072" s="65"/>
    </row>
    <row r="5073" spans="45:46" x14ac:dyDescent="0.25">
      <c r="AS5073" s="65"/>
      <c r="AT5073" s="65"/>
    </row>
    <row r="5074" spans="45:46" x14ac:dyDescent="0.25">
      <c r="AS5074" s="65"/>
      <c r="AT5074" s="65"/>
    </row>
    <row r="5075" spans="45:46" x14ac:dyDescent="0.25">
      <c r="AS5075" s="65"/>
      <c r="AT5075" s="65"/>
    </row>
    <row r="5076" spans="45:46" x14ac:dyDescent="0.25">
      <c r="AS5076" s="65"/>
      <c r="AT5076" s="65"/>
    </row>
    <row r="5077" spans="45:46" x14ac:dyDescent="0.25">
      <c r="AS5077" s="65"/>
      <c r="AT5077" s="65"/>
    </row>
    <row r="5078" spans="45:46" x14ac:dyDescent="0.25">
      <c r="AS5078" s="65"/>
      <c r="AT5078" s="65"/>
    </row>
    <row r="5079" spans="45:46" x14ac:dyDescent="0.25">
      <c r="AS5079" s="65"/>
      <c r="AT5079" s="65"/>
    </row>
    <row r="5080" spans="45:46" x14ac:dyDescent="0.25">
      <c r="AS5080" s="65"/>
      <c r="AT5080" s="65"/>
    </row>
    <row r="5081" spans="45:46" x14ac:dyDescent="0.25">
      <c r="AS5081" s="65"/>
      <c r="AT5081" s="65"/>
    </row>
    <row r="5082" spans="45:46" x14ac:dyDescent="0.25">
      <c r="AS5082" s="65"/>
      <c r="AT5082" s="65"/>
    </row>
    <row r="5083" spans="45:46" x14ac:dyDescent="0.25">
      <c r="AS5083" s="65"/>
      <c r="AT5083" s="65"/>
    </row>
    <row r="5084" spans="45:46" x14ac:dyDescent="0.25">
      <c r="AS5084" s="65"/>
      <c r="AT5084" s="65"/>
    </row>
    <row r="5085" spans="45:46" x14ac:dyDescent="0.25">
      <c r="AS5085" s="65"/>
      <c r="AT5085" s="65"/>
    </row>
    <row r="5086" spans="45:46" x14ac:dyDescent="0.25">
      <c r="AS5086" s="65"/>
      <c r="AT5086" s="65"/>
    </row>
    <row r="5087" spans="45:46" x14ac:dyDescent="0.25">
      <c r="AS5087" s="65"/>
      <c r="AT5087" s="65"/>
    </row>
    <row r="5088" spans="45:46" x14ac:dyDescent="0.25">
      <c r="AS5088" s="65"/>
      <c r="AT5088" s="65"/>
    </row>
    <row r="5089" spans="45:46" x14ac:dyDescent="0.25">
      <c r="AS5089" s="65"/>
      <c r="AT5089" s="65"/>
    </row>
    <row r="5090" spans="45:46" x14ac:dyDescent="0.25">
      <c r="AS5090" s="65"/>
      <c r="AT5090" s="65"/>
    </row>
    <row r="5091" spans="45:46" x14ac:dyDescent="0.25">
      <c r="AS5091" s="65"/>
      <c r="AT5091" s="65"/>
    </row>
    <row r="5092" spans="45:46" x14ac:dyDescent="0.25">
      <c r="AS5092" s="65"/>
      <c r="AT5092" s="65"/>
    </row>
    <row r="5093" spans="45:46" x14ac:dyDescent="0.25">
      <c r="AS5093" s="65"/>
      <c r="AT5093" s="65"/>
    </row>
    <row r="5094" spans="45:46" x14ac:dyDescent="0.25">
      <c r="AS5094" s="65"/>
      <c r="AT5094" s="65"/>
    </row>
    <row r="5095" spans="45:46" x14ac:dyDescent="0.25">
      <c r="AS5095" s="65"/>
      <c r="AT5095" s="65"/>
    </row>
    <row r="5096" spans="45:46" x14ac:dyDescent="0.25">
      <c r="AS5096" s="65"/>
      <c r="AT5096" s="65"/>
    </row>
    <row r="5097" spans="45:46" x14ac:dyDescent="0.25">
      <c r="AS5097" s="65"/>
      <c r="AT5097" s="65"/>
    </row>
    <row r="5098" spans="45:46" x14ac:dyDescent="0.25">
      <c r="AS5098" s="65"/>
      <c r="AT5098" s="65"/>
    </row>
    <row r="5099" spans="45:46" x14ac:dyDescent="0.25">
      <c r="AS5099" s="65"/>
      <c r="AT5099" s="65"/>
    </row>
    <row r="5100" spans="45:46" x14ac:dyDescent="0.25">
      <c r="AS5100" s="65"/>
      <c r="AT5100" s="65"/>
    </row>
    <row r="5101" spans="45:46" x14ac:dyDescent="0.25">
      <c r="AS5101" s="65"/>
      <c r="AT5101" s="65"/>
    </row>
    <row r="5102" spans="45:46" x14ac:dyDescent="0.25">
      <c r="AS5102" s="65"/>
      <c r="AT5102" s="65"/>
    </row>
    <row r="5103" spans="45:46" x14ac:dyDescent="0.25">
      <c r="AS5103" s="65"/>
      <c r="AT5103" s="65"/>
    </row>
    <row r="5104" spans="45:46" x14ac:dyDescent="0.25">
      <c r="AS5104" s="65"/>
      <c r="AT5104" s="65"/>
    </row>
    <row r="5105" spans="45:46" x14ac:dyDescent="0.25">
      <c r="AS5105" s="65"/>
      <c r="AT5105" s="65"/>
    </row>
    <row r="5106" spans="45:46" x14ac:dyDescent="0.25">
      <c r="AS5106" s="65"/>
      <c r="AT5106" s="65"/>
    </row>
    <row r="5107" spans="45:46" x14ac:dyDescent="0.25">
      <c r="AS5107" s="65"/>
      <c r="AT5107" s="65"/>
    </row>
    <row r="5108" spans="45:46" x14ac:dyDescent="0.25">
      <c r="AS5108" s="65"/>
      <c r="AT5108" s="65"/>
    </row>
    <row r="5109" spans="45:46" x14ac:dyDescent="0.25">
      <c r="AS5109" s="65"/>
      <c r="AT5109" s="65"/>
    </row>
    <row r="5110" spans="45:46" x14ac:dyDescent="0.25">
      <c r="AS5110" s="65"/>
      <c r="AT5110" s="65"/>
    </row>
    <row r="5111" spans="45:46" x14ac:dyDescent="0.25">
      <c r="AS5111" s="65"/>
      <c r="AT5111" s="65"/>
    </row>
    <row r="5112" spans="45:46" x14ac:dyDescent="0.25">
      <c r="AS5112" s="65"/>
      <c r="AT5112" s="65"/>
    </row>
    <row r="5113" spans="45:46" x14ac:dyDescent="0.25">
      <c r="AS5113" s="65"/>
      <c r="AT5113" s="65"/>
    </row>
    <row r="5114" spans="45:46" x14ac:dyDescent="0.25">
      <c r="AS5114" s="65"/>
      <c r="AT5114" s="65"/>
    </row>
    <row r="5115" spans="45:46" x14ac:dyDescent="0.25">
      <c r="AS5115" s="65"/>
      <c r="AT5115" s="65"/>
    </row>
    <row r="5116" spans="45:46" x14ac:dyDescent="0.25">
      <c r="AS5116" s="65"/>
      <c r="AT5116" s="65"/>
    </row>
    <row r="5117" spans="45:46" x14ac:dyDescent="0.25">
      <c r="AS5117" s="65"/>
      <c r="AT5117" s="65"/>
    </row>
    <row r="5118" spans="45:46" x14ac:dyDescent="0.25">
      <c r="AS5118" s="65"/>
      <c r="AT5118" s="65"/>
    </row>
    <row r="5119" spans="45:46" x14ac:dyDescent="0.25">
      <c r="AS5119" s="65"/>
      <c r="AT5119" s="65"/>
    </row>
    <row r="5120" spans="45:46" x14ac:dyDescent="0.25">
      <c r="AS5120" s="65"/>
      <c r="AT5120" s="65"/>
    </row>
    <row r="5121" spans="45:46" x14ac:dyDescent="0.25">
      <c r="AS5121" s="65"/>
      <c r="AT5121" s="65"/>
    </row>
    <row r="5122" spans="45:46" x14ac:dyDescent="0.25">
      <c r="AS5122" s="65"/>
      <c r="AT5122" s="65"/>
    </row>
    <row r="5123" spans="45:46" x14ac:dyDescent="0.25">
      <c r="AS5123" s="65"/>
      <c r="AT5123" s="65"/>
    </row>
    <row r="5124" spans="45:46" x14ac:dyDescent="0.25">
      <c r="AS5124" s="65"/>
      <c r="AT5124" s="65"/>
    </row>
    <row r="5125" spans="45:46" x14ac:dyDescent="0.25">
      <c r="AS5125" s="65"/>
      <c r="AT5125" s="65"/>
    </row>
    <row r="5126" spans="45:46" x14ac:dyDescent="0.25">
      <c r="AS5126" s="65"/>
      <c r="AT5126" s="65"/>
    </row>
    <row r="5127" spans="45:46" x14ac:dyDescent="0.25">
      <c r="AS5127" s="65"/>
      <c r="AT5127" s="65"/>
    </row>
    <row r="5128" spans="45:46" x14ac:dyDescent="0.25">
      <c r="AS5128" s="65"/>
      <c r="AT5128" s="65"/>
    </row>
    <row r="5129" spans="45:46" x14ac:dyDescent="0.25">
      <c r="AS5129" s="65"/>
      <c r="AT5129" s="65"/>
    </row>
    <row r="5130" spans="45:46" x14ac:dyDescent="0.25">
      <c r="AS5130" s="65"/>
      <c r="AT5130" s="65"/>
    </row>
    <row r="5131" spans="45:46" x14ac:dyDescent="0.25">
      <c r="AS5131" s="65"/>
      <c r="AT5131" s="65"/>
    </row>
    <row r="5132" spans="45:46" x14ac:dyDescent="0.25">
      <c r="AS5132" s="65"/>
      <c r="AT5132" s="65"/>
    </row>
    <row r="5133" spans="45:46" x14ac:dyDescent="0.25">
      <c r="AS5133" s="65"/>
      <c r="AT5133" s="65"/>
    </row>
    <row r="5134" spans="45:46" x14ac:dyDescent="0.25">
      <c r="AS5134" s="65"/>
      <c r="AT5134" s="65"/>
    </row>
    <row r="5135" spans="45:46" x14ac:dyDescent="0.25">
      <c r="AS5135" s="65"/>
      <c r="AT5135" s="65"/>
    </row>
    <row r="5136" spans="45:46" x14ac:dyDescent="0.25">
      <c r="AS5136" s="65"/>
      <c r="AT5136" s="65"/>
    </row>
    <row r="5137" spans="45:46" x14ac:dyDescent="0.25">
      <c r="AS5137" s="65"/>
      <c r="AT5137" s="65"/>
    </row>
    <row r="5138" spans="45:46" x14ac:dyDescent="0.25">
      <c r="AS5138" s="65"/>
      <c r="AT5138" s="65"/>
    </row>
    <row r="5139" spans="45:46" x14ac:dyDescent="0.25">
      <c r="AS5139" s="65"/>
      <c r="AT5139" s="65"/>
    </row>
    <row r="5140" spans="45:46" x14ac:dyDescent="0.25">
      <c r="AS5140" s="65"/>
      <c r="AT5140" s="65"/>
    </row>
    <row r="5141" spans="45:46" x14ac:dyDescent="0.25">
      <c r="AS5141" s="65"/>
      <c r="AT5141" s="65"/>
    </row>
    <row r="5142" spans="45:46" x14ac:dyDescent="0.25">
      <c r="AS5142" s="65"/>
      <c r="AT5142" s="65"/>
    </row>
    <row r="5143" spans="45:46" x14ac:dyDescent="0.25">
      <c r="AS5143" s="65"/>
      <c r="AT5143" s="65"/>
    </row>
    <row r="5144" spans="45:46" x14ac:dyDescent="0.25">
      <c r="AS5144" s="65"/>
      <c r="AT5144" s="65"/>
    </row>
    <row r="5145" spans="45:46" x14ac:dyDescent="0.25">
      <c r="AS5145" s="65"/>
      <c r="AT5145" s="65"/>
    </row>
    <row r="5146" spans="45:46" x14ac:dyDescent="0.25">
      <c r="AS5146" s="65"/>
      <c r="AT5146" s="65"/>
    </row>
    <row r="5147" spans="45:46" x14ac:dyDescent="0.25">
      <c r="AS5147" s="65"/>
      <c r="AT5147" s="65"/>
    </row>
    <row r="5148" spans="45:46" x14ac:dyDescent="0.25">
      <c r="AS5148" s="65"/>
      <c r="AT5148" s="65"/>
    </row>
    <row r="5149" spans="45:46" x14ac:dyDescent="0.25">
      <c r="AS5149" s="65"/>
      <c r="AT5149" s="65"/>
    </row>
    <row r="5150" spans="45:46" x14ac:dyDescent="0.25">
      <c r="AS5150" s="65"/>
      <c r="AT5150" s="65"/>
    </row>
    <row r="5151" spans="45:46" x14ac:dyDescent="0.25">
      <c r="AS5151" s="65"/>
      <c r="AT5151" s="65"/>
    </row>
    <row r="5152" spans="45:46" x14ac:dyDescent="0.25">
      <c r="AS5152" s="65"/>
      <c r="AT5152" s="65"/>
    </row>
    <row r="5153" spans="45:46" x14ac:dyDescent="0.25">
      <c r="AS5153" s="65"/>
      <c r="AT5153" s="65"/>
    </row>
    <row r="5154" spans="45:46" x14ac:dyDescent="0.25">
      <c r="AS5154" s="65"/>
      <c r="AT5154" s="65"/>
    </row>
    <row r="5155" spans="45:46" x14ac:dyDescent="0.25">
      <c r="AS5155" s="65"/>
      <c r="AT5155" s="65"/>
    </row>
    <row r="5156" spans="45:46" x14ac:dyDescent="0.25">
      <c r="AS5156" s="65"/>
      <c r="AT5156" s="65"/>
    </row>
    <row r="5157" spans="45:46" x14ac:dyDescent="0.25">
      <c r="AS5157" s="65"/>
      <c r="AT5157" s="65"/>
    </row>
    <row r="5158" spans="45:46" x14ac:dyDescent="0.25">
      <c r="AS5158" s="65"/>
      <c r="AT5158" s="65"/>
    </row>
    <row r="5159" spans="45:46" x14ac:dyDescent="0.25">
      <c r="AS5159" s="65"/>
      <c r="AT5159" s="65"/>
    </row>
    <row r="5160" spans="45:46" x14ac:dyDescent="0.25">
      <c r="AS5160" s="65"/>
      <c r="AT5160" s="65"/>
    </row>
    <row r="5161" spans="45:46" x14ac:dyDescent="0.25">
      <c r="AS5161" s="65"/>
      <c r="AT5161" s="65"/>
    </row>
    <row r="5162" spans="45:46" x14ac:dyDescent="0.25">
      <c r="AS5162" s="65"/>
      <c r="AT5162" s="65"/>
    </row>
    <row r="5163" spans="45:46" x14ac:dyDescent="0.25">
      <c r="AS5163" s="65"/>
      <c r="AT5163" s="65"/>
    </row>
    <row r="5164" spans="45:46" x14ac:dyDescent="0.25">
      <c r="AS5164" s="65"/>
      <c r="AT5164" s="65"/>
    </row>
    <row r="5165" spans="45:46" x14ac:dyDescent="0.25">
      <c r="AS5165" s="65"/>
      <c r="AT5165" s="65"/>
    </row>
    <row r="5166" spans="45:46" x14ac:dyDescent="0.25">
      <c r="AS5166" s="65"/>
      <c r="AT5166" s="65"/>
    </row>
    <row r="5167" spans="45:46" x14ac:dyDescent="0.25">
      <c r="AS5167" s="65"/>
      <c r="AT5167" s="65"/>
    </row>
    <row r="5168" spans="45:46" x14ac:dyDescent="0.25">
      <c r="AS5168" s="65"/>
      <c r="AT5168" s="65"/>
    </row>
    <row r="5169" spans="45:46" x14ac:dyDescent="0.25">
      <c r="AS5169" s="65"/>
      <c r="AT5169" s="65"/>
    </row>
    <row r="5170" spans="45:46" x14ac:dyDescent="0.25">
      <c r="AS5170" s="65"/>
      <c r="AT5170" s="65"/>
    </row>
    <row r="5171" spans="45:46" x14ac:dyDescent="0.25">
      <c r="AS5171" s="65"/>
      <c r="AT5171" s="65"/>
    </row>
    <row r="5172" spans="45:46" x14ac:dyDescent="0.25">
      <c r="AS5172" s="65"/>
      <c r="AT5172" s="65"/>
    </row>
    <row r="5173" spans="45:46" x14ac:dyDescent="0.25">
      <c r="AS5173" s="65"/>
      <c r="AT5173" s="65"/>
    </row>
    <row r="5174" spans="45:46" x14ac:dyDescent="0.25">
      <c r="AS5174" s="65"/>
      <c r="AT5174" s="65"/>
    </row>
    <row r="5175" spans="45:46" x14ac:dyDescent="0.25">
      <c r="AS5175" s="65"/>
      <c r="AT5175" s="65"/>
    </row>
    <row r="5176" spans="45:46" x14ac:dyDescent="0.25">
      <c r="AS5176" s="65"/>
      <c r="AT5176" s="65"/>
    </row>
    <row r="5177" spans="45:46" x14ac:dyDescent="0.25">
      <c r="AS5177" s="65"/>
      <c r="AT5177" s="65"/>
    </row>
    <row r="5178" spans="45:46" x14ac:dyDescent="0.25">
      <c r="AS5178" s="65"/>
      <c r="AT5178" s="65"/>
    </row>
    <row r="5179" spans="45:46" x14ac:dyDescent="0.25">
      <c r="AS5179" s="65"/>
      <c r="AT5179" s="65"/>
    </row>
    <row r="5180" spans="45:46" x14ac:dyDescent="0.25">
      <c r="AS5180" s="65"/>
      <c r="AT5180" s="65"/>
    </row>
    <row r="5181" spans="45:46" x14ac:dyDescent="0.25">
      <c r="AS5181" s="65"/>
      <c r="AT5181" s="65"/>
    </row>
    <row r="5182" spans="45:46" x14ac:dyDescent="0.25">
      <c r="AS5182" s="65"/>
      <c r="AT5182" s="65"/>
    </row>
    <row r="5183" spans="45:46" x14ac:dyDescent="0.25">
      <c r="AS5183" s="65"/>
      <c r="AT5183" s="65"/>
    </row>
    <row r="5184" spans="45:46" x14ac:dyDescent="0.25">
      <c r="AS5184" s="65"/>
      <c r="AT5184" s="65"/>
    </row>
    <row r="5185" spans="45:46" x14ac:dyDescent="0.25">
      <c r="AS5185" s="65"/>
      <c r="AT5185" s="65"/>
    </row>
    <row r="5186" spans="45:46" x14ac:dyDescent="0.25">
      <c r="AS5186" s="65"/>
      <c r="AT5186" s="65"/>
    </row>
    <row r="5187" spans="45:46" x14ac:dyDescent="0.25">
      <c r="AS5187" s="65"/>
      <c r="AT5187" s="65"/>
    </row>
    <row r="5188" spans="45:46" x14ac:dyDescent="0.25">
      <c r="AS5188" s="65"/>
      <c r="AT5188" s="65"/>
    </row>
    <row r="5189" spans="45:46" x14ac:dyDescent="0.25">
      <c r="AS5189" s="65"/>
      <c r="AT5189" s="65"/>
    </row>
    <row r="5190" spans="45:46" x14ac:dyDescent="0.25">
      <c r="AS5190" s="65"/>
      <c r="AT5190" s="65"/>
    </row>
    <row r="5191" spans="45:46" x14ac:dyDescent="0.25">
      <c r="AS5191" s="65"/>
      <c r="AT5191" s="65"/>
    </row>
    <row r="5192" spans="45:46" x14ac:dyDescent="0.25">
      <c r="AS5192" s="65"/>
      <c r="AT5192" s="65"/>
    </row>
    <row r="5193" spans="45:46" x14ac:dyDescent="0.25">
      <c r="AS5193" s="65"/>
      <c r="AT5193" s="65"/>
    </row>
    <row r="5194" spans="45:46" x14ac:dyDescent="0.25">
      <c r="AS5194" s="65"/>
      <c r="AT5194" s="65"/>
    </row>
    <row r="5195" spans="45:46" x14ac:dyDescent="0.25">
      <c r="AS5195" s="65"/>
      <c r="AT5195" s="65"/>
    </row>
    <row r="5196" spans="45:46" x14ac:dyDescent="0.25">
      <c r="AS5196" s="65"/>
      <c r="AT5196" s="65"/>
    </row>
    <row r="5197" spans="45:46" x14ac:dyDescent="0.25">
      <c r="AS5197" s="65"/>
      <c r="AT5197" s="65"/>
    </row>
    <row r="5198" spans="45:46" x14ac:dyDescent="0.25">
      <c r="AS5198" s="65"/>
      <c r="AT5198" s="65"/>
    </row>
    <row r="5199" spans="45:46" x14ac:dyDescent="0.25">
      <c r="AS5199" s="65"/>
      <c r="AT5199" s="65"/>
    </row>
    <row r="5200" spans="45:46" x14ac:dyDescent="0.25">
      <c r="AS5200" s="65"/>
      <c r="AT5200" s="65"/>
    </row>
    <row r="5201" spans="45:46" x14ac:dyDescent="0.25">
      <c r="AS5201" s="65"/>
      <c r="AT5201" s="65"/>
    </row>
    <row r="5202" spans="45:46" x14ac:dyDescent="0.25">
      <c r="AS5202" s="65"/>
      <c r="AT5202" s="65"/>
    </row>
    <row r="5203" spans="45:46" x14ac:dyDescent="0.25">
      <c r="AS5203" s="65"/>
      <c r="AT5203" s="65"/>
    </row>
    <row r="5204" spans="45:46" x14ac:dyDescent="0.25">
      <c r="AS5204" s="65"/>
      <c r="AT5204" s="65"/>
    </row>
    <row r="5205" spans="45:46" x14ac:dyDescent="0.25">
      <c r="AS5205" s="65"/>
      <c r="AT5205" s="65"/>
    </row>
    <row r="5206" spans="45:46" x14ac:dyDescent="0.25">
      <c r="AS5206" s="65"/>
      <c r="AT5206" s="65"/>
    </row>
    <row r="5207" spans="45:46" x14ac:dyDescent="0.25">
      <c r="AS5207" s="65"/>
      <c r="AT5207" s="65"/>
    </row>
    <row r="5208" spans="45:46" x14ac:dyDescent="0.25">
      <c r="AS5208" s="65"/>
      <c r="AT5208" s="65"/>
    </row>
    <row r="5209" spans="45:46" x14ac:dyDescent="0.25">
      <c r="AS5209" s="65"/>
      <c r="AT5209" s="65"/>
    </row>
    <row r="5210" spans="45:46" x14ac:dyDescent="0.25">
      <c r="AS5210" s="65"/>
      <c r="AT5210" s="65"/>
    </row>
    <row r="5211" spans="45:46" x14ac:dyDescent="0.25">
      <c r="AS5211" s="65"/>
      <c r="AT5211" s="65"/>
    </row>
    <row r="5212" spans="45:46" x14ac:dyDescent="0.25">
      <c r="AS5212" s="65"/>
      <c r="AT5212" s="65"/>
    </row>
    <row r="5213" spans="45:46" x14ac:dyDescent="0.25">
      <c r="AS5213" s="65"/>
      <c r="AT5213" s="65"/>
    </row>
    <row r="5214" spans="45:46" x14ac:dyDescent="0.25">
      <c r="AS5214" s="65"/>
      <c r="AT5214" s="65"/>
    </row>
    <row r="5215" spans="45:46" x14ac:dyDescent="0.25">
      <c r="AS5215" s="65"/>
      <c r="AT5215" s="65"/>
    </row>
    <row r="5216" spans="45:46" x14ac:dyDescent="0.25">
      <c r="AS5216" s="65"/>
      <c r="AT5216" s="65"/>
    </row>
    <row r="5217" spans="45:46" x14ac:dyDescent="0.25">
      <c r="AS5217" s="65"/>
      <c r="AT5217" s="65"/>
    </row>
    <row r="5218" spans="45:46" x14ac:dyDescent="0.25">
      <c r="AS5218" s="65"/>
      <c r="AT5218" s="65"/>
    </row>
    <row r="5219" spans="45:46" x14ac:dyDescent="0.25">
      <c r="AS5219" s="65"/>
      <c r="AT5219" s="65"/>
    </row>
    <row r="5220" spans="45:46" x14ac:dyDescent="0.25">
      <c r="AS5220" s="65"/>
      <c r="AT5220" s="65"/>
    </row>
    <row r="5221" spans="45:46" x14ac:dyDescent="0.25">
      <c r="AS5221" s="65"/>
      <c r="AT5221" s="65"/>
    </row>
    <row r="5222" spans="45:46" x14ac:dyDescent="0.25">
      <c r="AS5222" s="65"/>
      <c r="AT5222" s="65"/>
    </row>
    <row r="5223" spans="45:46" x14ac:dyDescent="0.25">
      <c r="AS5223" s="65"/>
      <c r="AT5223" s="65"/>
    </row>
    <row r="5224" spans="45:46" x14ac:dyDescent="0.25">
      <c r="AS5224" s="65"/>
      <c r="AT5224" s="65"/>
    </row>
    <row r="5225" spans="45:46" x14ac:dyDescent="0.25">
      <c r="AS5225" s="65"/>
      <c r="AT5225" s="65"/>
    </row>
    <row r="5226" spans="45:46" x14ac:dyDescent="0.25">
      <c r="AS5226" s="65"/>
      <c r="AT5226" s="65"/>
    </row>
    <row r="5227" spans="45:46" x14ac:dyDescent="0.25">
      <c r="AS5227" s="65"/>
      <c r="AT5227" s="65"/>
    </row>
    <row r="5228" spans="45:46" x14ac:dyDescent="0.25">
      <c r="AS5228" s="65"/>
      <c r="AT5228" s="65"/>
    </row>
    <row r="5229" spans="45:46" x14ac:dyDescent="0.25">
      <c r="AS5229" s="65"/>
      <c r="AT5229" s="65"/>
    </row>
    <row r="5230" spans="45:46" x14ac:dyDescent="0.25">
      <c r="AS5230" s="65"/>
      <c r="AT5230" s="65"/>
    </row>
    <row r="5231" spans="45:46" x14ac:dyDescent="0.25">
      <c r="AS5231" s="65"/>
      <c r="AT5231" s="65"/>
    </row>
    <row r="5232" spans="45:46" x14ac:dyDescent="0.25">
      <c r="AS5232" s="65"/>
      <c r="AT5232" s="65"/>
    </row>
    <row r="5233" spans="45:46" x14ac:dyDescent="0.25">
      <c r="AS5233" s="65"/>
      <c r="AT5233" s="65"/>
    </row>
    <row r="5234" spans="45:46" x14ac:dyDescent="0.25">
      <c r="AS5234" s="65"/>
      <c r="AT5234" s="65"/>
    </row>
    <row r="5235" spans="45:46" x14ac:dyDescent="0.25">
      <c r="AS5235" s="65"/>
      <c r="AT5235" s="65"/>
    </row>
    <row r="5236" spans="45:46" x14ac:dyDescent="0.25">
      <c r="AS5236" s="65"/>
      <c r="AT5236" s="65"/>
    </row>
    <row r="5237" spans="45:46" x14ac:dyDescent="0.25">
      <c r="AS5237" s="65"/>
      <c r="AT5237" s="65"/>
    </row>
    <row r="5238" spans="45:46" x14ac:dyDescent="0.25">
      <c r="AS5238" s="65"/>
      <c r="AT5238" s="65"/>
    </row>
    <row r="5239" spans="45:46" x14ac:dyDescent="0.25">
      <c r="AS5239" s="65"/>
      <c r="AT5239" s="65"/>
    </row>
    <row r="5240" spans="45:46" x14ac:dyDescent="0.25">
      <c r="AS5240" s="65"/>
      <c r="AT5240" s="65"/>
    </row>
    <row r="5241" spans="45:46" x14ac:dyDescent="0.25">
      <c r="AS5241" s="65"/>
      <c r="AT5241" s="65"/>
    </row>
    <row r="5242" spans="45:46" x14ac:dyDescent="0.25">
      <c r="AS5242" s="65"/>
      <c r="AT5242" s="65"/>
    </row>
    <row r="5243" spans="45:46" x14ac:dyDescent="0.25">
      <c r="AS5243" s="65"/>
      <c r="AT5243" s="65"/>
    </row>
    <row r="5244" spans="45:46" x14ac:dyDescent="0.25">
      <c r="AS5244" s="65"/>
      <c r="AT5244" s="65"/>
    </row>
    <row r="5245" spans="45:46" x14ac:dyDescent="0.25">
      <c r="AS5245" s="65"/>
      <c r="AT5245" s="65"/>
    </row>
    <row r="5246" spans="45:46" x14ac:dyDescent="0.25">
      <c r="AS5246" s="65"/>
      <c r="AT5246" s="65"/>
    </row>
    <row r="5247" spans="45:46" x14ac:dyDescent="0.25">
      <c r="AS5247" s="65"/>
      <c r="AT5247" s="65"/>
    </row>
    <row r="5248" spans="45:46" x14ac:dyDescent="0.25">
      <c r="AS5248" s="65"/>
      <c r="AT5248" s="65"/>
    </row>
    <row r="5249" spans="45:46" x14ac:dyDescent="0.25">
      <c r="AS5249" s="65"/>
      <c r="AT5249" s="65"/>
    </row>
    <row r="5250" spans="45:46" x14ac:dyDescent="0.25">
      <c r="AS5250" s="65"/>
      <c r="AT5250" s="65"/>
    </row>
    <row r="5251" spans="45:46" x14ac:dyDescent="0.25">
      <c r="AS5251" s="65"/>
      <c r="AT5251" s="65"/>
    </row>
    <row r="5252" spans="45:46" x14ac:dyDescent="0.25">
      <c r="AS5252" s="65"/>
      <c r="AT5252" s="65"/>
    </row>
    <row r="5253" spans="45:46" x14ac:dyDescent="0.25">
      <c r="AS5253" s="65"/>
      <c r="AT5253" s="65"/>
    </row>
    <row r="5254" spans="45:46" x14ac:dyDescent="0.25">
      <c r="AS5254" s="65"/>
      <c r="AT5254" s="65"/>
    </row>
    <row r="5255" spans="45:46" x14ac:dyDescent="0.25">
      <c r="AS5255" s="65"/>
      <c r="AT5255" s="65"/>
    </row>
    <row r="5256" spans="45:46" x14ac:dyDescent="0.25">
      <c r="AS5256" s="65"/>
      <c r="AT5256" s="65"/>
    </row>
    <row r="5257" spans="45:46" x14ac:dyDescent="0.25">
      <c r="AS5257" s="65"/>
      <c r="AT5257" s="65"/>
    </row>
    <row r="5258" spans="45:46" x14ac:dyDescent="0.25">
      <c r="AS5258" s="65"/>
      <c r="AT5258" s="65"/>
    </row>
    <row r="5259" spans="45:46" x14ac:dyDescent="0.25">
      <c r="AS5259" s="65"/>
      <c r="AT5259" s="65"/>
    </row>
    <row r="5260" spans="45:46" x14ac:dyDescent="0.25">
      <c r="AS5260" s="65"/>
      <c r="AT5260" s="65"/>
    </row>
    <row r="5261" spans="45:46" x14ac:dyDescent="0.25">
      <c r="AS5261" s="65"/>
      <c r="AT5261" s="65"/>
    </row>
    <row r="5262" spans="45:46" x14ac:dyDescent="0.25">
      <c r="AS5262" s="65"/>
      <c r="AT5262" s="65"/>
    </row>
    <row r="5263" spans="45:46" x14ac:dyDescent="0.25">
      <c r="AS5263" s="65"/>
      <c r="AT5263" s="65"/>
    </row>
    <row r="5264" spans="45:46" x14ac:dyDescent="0.25">
      <c r="AS5264" s="65"/>
      <c r="AT5264" s="65"/>
    </row>
    <row r="5265" spans="45:46" x14ac:dyDescent="0.25">
      <c r="AS5265" s="65"/>
      <c r="AT5265" s="65"/>
    </row>
    <row r="5266" spans="45:46" x14ac:dyDescent="0.25">
      <c r="AS5266" s="65"/>
      <c r="AT5266" s="65"/>
    </row>
    <row r="5267" spans="45:46" x14ac:dyDescent="0.25">
      <c r="AS5267" s="65"/>
      <c r="AT5267" s="65"/>
    </row>
    <row r="5268" spans="45:46" x14ac:dyDescent="0.25">
      <c r="AS5268" s="65"/>
      <c r="AT5268" s="65"/>
    </row>
    <row r="5269" spans="45:46" x14ac:dyDescent="0.25">
      <c r="AS5269" s="65"/>
      <c r="AT5269" s="65"/>
    </row>
    <row r="5270" spans="45:46" x14ac:dyDescent="0.25">
      <c r="AS5270" s="65"/>
      <c r="AT5270" s="65"/>
    </row>
    <row r="5271" spans="45:46" x14ac:dyDescent="0.25">
      <c r="AS5271" s="65"/>
      <c r="AT5271" s="65"/>
    </row>
    <row r="5272" spans="45:46" x14ac:dyDescent="0.25">
      <c r="AS5272" s="65"/>
      <c r="AT5272" s="65"/>
    </row>
    <row r="5273" spans="45:46" x14ac:dyDescent="0.25">
      <c r="AS5273" s="65"/>
      <c r="AT5273" s="65"/>
    </row>
    <row r="5274" spans="45:46" x14ac:dyDescent="0.25">
      <c r="AS5274" s="65"/>
      <c r="AT5274" s="65"/>
    </row>
    <row r="5275" spans="45:46" x14ac:dyDescent="0.25">
      <c r="AS5275" s="65"/>
      <c r="AT5275" s="65"/>
    </row>
    <row r="5276" spans="45:46" x14ac:dyDescent="0.25">
      <c r="AS5276" s="65"/>
      <c r="AT5276" s="65"/>
    </row>
    <row r="5277" spans="45:46" x14ac:dyDescent="0.25">
      <c r="AS5277" s="65"/>
      <c r="AT5277" s="65"/>
    </row>
    <row r="5278" spans="45:46" x14ac:dyDescent="0.25">
      <c r="AS5278" s="65"/>
      <c r="AT5278" s="65"/>
    </row>
  </sheetData>
  <phoneticPr fontId="13" type="noConversion"/>
  <pageMargins left="0.7" right="0.7" top="0.75" bottom="0.75" header="0.3" footer="0.3"/>
  <pageSetup orientation="portrait"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8DF46B-3A6B-4B62-8068-80B926BD34A1}">
  <sheetPr codeName="Sheet3"/>
  <dimension ref="B1:KQ1408"/>
  <sheetViews>
    <sheetView workbookViewId="0">
      <selection activeCell="B2" sqref="B2:ER881"/>
    </sheetView>
  </sheetViews>
  <sheetFormatPr defaultRowHeight="13.2" x14ac:dyDescent="0.25"/>
  <cols>
    <col min="2" max="2" width="8.6640625" bestFit="1" customWidth="1"/>
    <col min="3" max="3" width="9.5546875" bestFit="1" customWidth="1"/>
    <col min="4" max="4" width="5.33203125" bestFit="1" customWidth="1"/>
    <col min="5" max="5" width="14.33203125" bestFit="1" customWidth="1"/>
    <col min="6" max="6" width="17.77734375" bestFit="1" customWidth="1"/>
    <col min="7" max="7" width="12.44140625" bestFit="1" customWidth="1"/>
    <col min="8" max="8" width="14.21875" bestFit="1" customWidth="1"/>
    <col min="9" max="9" width="18.6640625" bestFit="1" customWidth="1"/>
    <col min="10" max="10" width="18.5546875" bestFit="1" customWidth="1"/>
    <col min="11" max="11" width="22.6640625" bestFit="1" customWidth="1"/>
    <col min="12" max="13" width="22.77734375" bestFit="1" customWidth="1"/>
    <col min="14" max="14" width="20.109375" bestFit="1" customWidth="1"/>
    <col min="15" max="16" width="20.21875" bestFit="1" customWidth="1"/>
    <col min="17" max="17" width="21.33203125" bestFit="1" customWidth="1"/>
    <col min="18" max="18" width="19.5546875" bestFit="1" customWidth="1"/>
    <col min="19" max="19" width="19.6640625" bestFit="1" customWidth="1"/>
    <col min="20" max="20" width="14" bestFit="1" customWidth="1"/>
    <col min="21" max="21" width="14.88671875" bestFit="1" customWidth="1"/>
    <col min="22" max="22" width="14.77734375" bestFit="1" customWidth="1"/>
    <col min="23" max="24" width="14.88671875" bestFit="1" customWidth="1"/>
    <col min="25" max="25" width="12.21875" bestFit="1" customWidth="1"/>
    <col min="26" max="26" width="21.6640625" bestFit="1" customWidth="1"/>
    <col min="27" max="28" width="21.77734375" bestFit="1" customWidth="1"/>
    <col min="29" max="29" width="21.109375" bestFit="1" customWidth="1"/>
    <col min="30" max="31" width="21.33203125" bestFit="1" customWidth="1"/>
    <col min="32" max="32" width="13.77734375" bestFit="1" customWidth="1"/>
    <col min="33" max="34" width="13.88671875" bestFit="1" customWidth="1"/>
    <col min="35" max="35" width="19.21875" bestFit="1" customWidth="1"/>
    <col min="36" max="36" width="18.21875" bestFit="1" customWidth="1"/>
    <col min="37" max="38" width="18.33203125" bestFit="1" customWidth="1"/>
    <col min="39" max="39" width="23.88671875" bestFit="1" customWidth="1"/>
    <col min="40" max="41" width="24" bestFit="1" customWidth="1"/>
    <col min="42" max="42" width="24.109375" bestFit="1" customWidth="1"/>
    <col min="43" max="44" width="24.21875" bestFit="1" customWidth="1"/>
    <col min="45" max="45" width="21.33203125" bestFit="1" customWidth="1"/>
    <col min="46" max="46" width="15.6640625" bestFit="1" customWidth="1"/>
    <col min="47" max="47" width="16.33203125" bestFit="1" customWidth="1"/>
    <col min="48" max="48" width="21.44140625" bestFit="1" customWidth="1"/>
    <col min="49" max="49" width="15.77734375" bestFit="1" customWidth="1"/>
    <col min="50" max="50" width="16.44140625" bestFit="1" customWidth="1"/>
    <col min="51" max="51" width="21.44140625" bestFit="1" customWidth="1"/>
    <col min="52" max="52" width="15.77734375" bestFit="1" customWidth="1"/>
    <col min="53" max="53" width="16.44140625" bestFit="1" customWidth="1"/>
    <col min="54" max="54" width="22.88671875" bestFit="1" customWidth="1"/>
    <col min="55" max="56" width="23" bestFit="1" customWidth="1"/>
    <col min="57" max="57" width="22" bestFit="1" customWidth="1"/>
    <col min="58" max="59" width="22.109375" bestFit="1" customWidth="1"/>
    <col min="60" max="60" width="22.6640625" bestFit="1" customWidth="1"/>
    <col min="61" max="62" width="22.77734375" bestFit="1" customWidth="1"/>
    <col min="63" max="63" width="21.77734375" bestFit="1" customWidth="1"/>
    <col min="64" max="65" width="21.88671875" bestFit="1" customWidth="1"/>
    <col min="66" max="66" width="22" bestFit="1" customWidth="1"/>
    <col min="67" max="68" width="22.109375" bestFit="1" customWidth="1"/>
    <col min="69" max="69" width="21" bestFit="1" customWidth="1"/>
    <col min="70" max="71" width="21.109375" bestFit="1" customWidth="1"/>
    <col min="72" max="72" width="23.5546875" bestFit="1" customWidth="1"/>
    <col min="73" max="73" width="17.77734375" bestFit="1" customWidth="1"/>
    <col min="74" max="74" width="22.109375" bestFit="1" customWidth="1"/>
    <col min="75" max="75" width="17" bestFit="1" customWidth="1"/>
    <col min="76" max="76" width="18.109375" bestFit="1" customWidth="1"/>
    <col min="77" max="77" width="15.77734375" bestFit="1" customWidth="1"/>
    <col min="78" max="79" width="22.21875" bestFit="1" customWidth="1"/>
    <col min="80" max="81" width="22.33203125" bestFit="1" customWidth="1"/>
    <col min="82" max="82" width="21.5546875" bestFit="1" customWidth="1"/>
    <col min="83" max="84" width="21.6640625" bestFit="1" customWidth="1"/>
    <col min="85" max="85" width="21.33203125" bestFit="1" customWidth="1"/>
    <col min="86" max="87" width="21.44140625" bestFit="1" customWidth="1"/>
    <col min="88" max="88" width="20.5546875" bestFit="1" customWidth="1"/>
    <col min="89" max="90" width="20.6640625" bestFit="1" customWidth="1"/>
    <col min="91" max="91" width="22" bestFit="1" customWidth="1"/>
    <col min="92" max="93" width="22.109375" bestFit="1" customWidth="1"/>
    <col min="94" max="94" width="21.33203125" bestFit="1" customWidth="1"/>
    <col min="95" max="96" width="21.44140625" bestFit="1" customWidth="1"/>
    <col min="97" max="97" width="24" bestFit="1" customWidth="1"/>
    <col min="98" max="99" width="24.109375" bestFit="1" customWidth="1"/>
    <col min="100" max="100" width="23.109375" bestFit="1" customWidth="1"/>
    <col min="101" max="102" width="23.21875" bestFit="1" customWidth="1"/>
    <col min="103" max="103" width="20.33203125" bestFit="1" customWidth="1"/>
    <col min="104" max="104" width="19.44140625" bestFit="1" customWidth="1"/>
    <col min="105" max="105" width="22.6640625" bestFit="1" customWidth="1"/>
    <col min="106" max="107" width="22.77734375" bestFit="1" customWidth="1"/>
    <col min="108" max="108" width="22.44140625" bestFit="1" customWidth="1"/>
    <col min="109" max="110" width="22.5546875" bestFit="1" customWidth="1"/>
    <col min="111" max="111" width="24.21875" bestFit="1" customWidth="1"/>
    <col min="112" max="113" width="24.33203125" bestFit="1" customWidth="1"/>
    <col min="114" max="114" width="23.33203125" bestFit="1" customWidth="1"/>
    <col min="115" max="116" width="23.44140625" bestFit="1" customWidth="1"/>
    <col min="117" max="117" width="24" bestFit="1" customWidth="1"/>
    <col min="118" max="119" width="24.109375" bestFit="1" customWidth="1"/>
    <col min="120" max="120" width="20.44140625" bestFit="1" customWidth="1"/>
    <col min="121" max="122" width="20.5546875" bestFit="1" customWidth="1"/>
    <col min="123" max="123" width="22.44140625" bestFit="1" customWidth="1"/>
    <col min="124" max="124" width="21.5546875" bestFit="1" customWidth="1"/>
    <col min="125" max="125" width="22.21875" bestFit="1" customWidth="1"/>
    <col min="126" max="126" width="24.5546875" bestFit="1" customWidth="1"/>
    <col min="127" max="127" width="24.6640625" bestFit="1" customWidth="1"/>
    <col min="128" max="128" width="14.6640625" bestFit="1" customWidth="1"/>
    <col min="129" max="129" width="18.88671875" bestFit="1" customWidth="1"/>
    <col min="130" max="130" width="15.77734375" bestFit="1" customWidth="1"/>
    <col min="131" max="132" width="15.88671875" bestFit="1" customWidth="1"/>
    <col min="133" max="133" width="19.109375" bestFit="1" customWidth="1"/>
    <col min="134" max="135" width="19.21875" bestFit="1" customWidth="1"/>
    <col min="136" max="136" width="20.77734375" bestFit="1" customWidth="1"/>
    <col min="137" max="138" width="20.88671875" bestFit="1" customWidth="1"/>
    <col min="139" max="139" width="20" bestFit="1" customWidth="1"/>
    <col min="140" max="141" width="20.109375" bestFit="1" customWidth="1"/>
    <col min="142" max="142" width="10.5546875" bestFit="1" customWidth="1"/>
    <col min="143" max="143" width="13.21875" bestFit="1" customWidth="1"/>
    <col min="144" max="145" width="13.33203125" bestFit="1" customWidth="1"/>
    <col min="146" max="146" width="29" bestFit="1" customWidth="1"/>
    <col min="147" max="147" width="9" bestFit="1" customWidth="1"/>
    <col min="148" max="148" width="21.88671875" bestFit="1" customWidth="1"/>
    <col min="149" max="149" width="19" bestFit="1" customWidth="1"/>
    <col min="150" max="150" width="15.109375" bestFit="1" customWidth="1"/>
    <col min="151" max="151" width="18.21875" bestFit="1" customWidth="1"/>
    <col min="152" max="152" width="20.109375" bestFit="1" customWidth="1"/>
    <col min="153" max="154" width="26.6640625" bestFit="1" customWidth="1"/>
    <col min="155" max="157" width="21.109375" bestFit="1" customWidth="1"/>
    <col min="158" max="160" width="27.33203125" bestFit="1" customWidth="1"/>
    <col min="161" max="163" width="21.88671875" bestFit="1" customWidth="1"/>
    <col min="164" max="166" width="33.44140625" bestFit="1" customWidth="1"/>
    <col min="167" max="169" width="32.6640625" bestFit="1" customWidth="1"/>
    <col min="170" max="170" width="24.5546875" bestFit="1" customWidth="1"/>
    <col min="171" max="171" width="23.88671875" bestFit="1" customWidth="1"/>
    <col min="172" max="173" width="27.109375" bestFit="1" customWidth="1"/>
    <col min="174" max="174" width="20.6640625" bestFit="1" customWidth="1"/>
    <col min="175" max="176" width="27.44140625" bestFit="1" customWidth="1"/>
    <col min="177" max="177" width="22.6640625" bestFit="1" customWidth="1"/>
    <col min="178" max="180" width="24.33203125" bestFit="1" customWidth="1"/>
    <col min="181" max="183" width="23.5546875" bestFit="1" customWidth="1"/>
    <col min="184" max="186" width="24.109375" bestFit="1" customWidth="1"/>
    <col min="187" max="189" width="26.33203125" bestFit="1" customWidth="1"/>
    <col min="190" max="190" width="22.5546875" bestFit="1" customWidth="1"/>
    <col min="191" max="191" width="22.109375" bestFit="1" customWidth="1"/>
    <col min="192" max="192" width="22.88671875" bestFit="1" customWidth="1"/>
    <col min="193" max="194" width="30.44140625" bestFit="1" customWidth="1"/>
    <col min="195" max="195" width="22.109375" bestFit="1" customWidth="1"/>
    <col min="196" max="196" width="19.6640625" bestFit="1" customWidth="1"/>
    <col min="197" max="199" width="15.88671875" bestFit="1" customWidth="1"/>
    <col min="200" max="202" width="19.44140625" bestFit="1" customWidth="1"/>
    <col min="203" max="205" width="21.5546875" bestFit="1" customWidth="1"/>
    <col min="206" max="208" width="20.109375" bestFit="1" customWidth="1"/>
    <col min="209" max="209" width="5.33203125" bestFit="1" customWidth="1"/>
    <col min="210" max="210" width="9.88671875" bestFit="1" customWidth="1"/>
    <col min="211" max="211" width="11" bestFit="1" customWidth="1"/>
    <col min="212" max="212" width="29.33203125" bestFit="1" customWidth="1"/>
    <col min="213" max="213" width="9.5546875" bestFit="1" customWidth="1"/>
    <col min="214" max="214" width="22" bestFit="1" customWidth="1"/>
    <col min="215" max="215" width="19.5546875" bestFit="1" customWidth="1"/>
    <col min="216" max="216" width="15" bestFit="1" customWidth="1"/>
    <col min="217" max="217" width="18.109375" bestFit="1" customWidth="1"/>
    <col min="218" max="218" width="20" bestFit="1" customWidth="1"/>
    <col min="219" max="219" width="21.6640625" bestFit="1" customWidth="1"/>
    <col min="220" max="220" width="21.33203125" bestFit="1" customWidth="1"/>
    <col min="221" max="222" width="21.44140625" bestFit="1" customWidth="1"/>
    <col min="223" max="223" width="20.5546875" bestFit="1" customWidth="1"/>
    <col min="224" max="225" width="20.6640625" bestFit="1" customWidth="1"/>
    <col min="226" max="226" width="22" bestFit="1" customWidth="1"/>
    <col min="227" max="228" width="22.109375" bestFit="1" customWidth="1"/>
    <col min="229" max="229" width="21.33203125" bestFit="1" customWidth="1"/>
    <col min="230" max="231" width="21.44140625" bestFit="1" customWidth="1"/>
    <col min="232" max="232" width="24" bestFit="1" customWidth="1"/>
    <col min="233" max="234" width="24.109375" bestFit="1" customWidth="1"/>
    <col min="235" max="237" width="23.33203125" bestFit="1" customWidth="1"/>
    <col min="238" max="238" width="20.33203125" bestFit="1" customWidth="1"/>
    <col min="239" max="239" width="19.44140625" bestFit="1" customWidth="1"/>
    <col min="240" max="242" width="22.6640625" bestFit="1" customWidth="1"/>
    <col min="243" max="243" width="22.44140625" bestFit="1" customWidth="1"/>
    <col min="244" max="245" width="22.5546875" bestFit="1" customWidth="1"/>
    <col min="246" max="248" width="24.33203125" bestFit="1" customWidth="1"/>
    <col min="249" max="249" width="23.33203125" bestFit="1" customWidth="1"/>
    <col min="250" max="251" width="23.44140625" bestFit="1" customWidth="1"/>
    <col min="252" max="252" width="24" bestFit="1" customWidth="1"/>
    <col min="253" max="254" width="24.109375" bestFit="1" customWidth="1"/>
    <col min="255" max="255" width="20.44140625" bestFit="1" customWidth="1"/>
    <col min="256" max="257" width="20.5546875" bestFit="1" customWidth="1"/>
    <col min="258" max="258" width="22.44140625" bestFit="1" customWidth="1"/>
    <col min="259" max="259" width="21.5546875" bestFit="1" customWidth="1"/>
    <col min="260" max="260" width="22.33203125" bestFit="1" customWidth="1"/>
    <col min="261" max="261" width="24.5546875" bestFit="1" customWidth="1"/>
    <col min="262" max="262" width="24.6640625" bestFit="1" customWidth="1"/>
    <col min="263" max="263" width="14.6640625" bestFit="1" customWidth="1"/>
    <col min="264" max="264" width="19.109375" bestFit="1" customWidth="1"/>
    <col min="265" max="265" width="15.6640625" bestFit="1" customWidth="1"/>
    <col min="266" max="267" width="15.88671875" bestFit="1" customWidth="1"/>
    <col min="268" max="268" width="19.109375" bestFit="1" customWidth="1"/>
    <col min="269" max="270" width="19.33203125" bestFit="1" customWidth="1"/>
    <col min="271" max="273" width="21" bestFit="1" customWidth="1"/>
    <col min="274" max="274" width="20" bestFit="1" customWidth="1"/>
    <col min="275" max="276" width="20.109375" bestFit="1" customWidth="1"/>
    <col min="277" max="277" width="10.6640625" bestFit="1" customWidth="1"/>
    <col min="278" max="279" width="13.33203125" bestFit="1" customWidth="1"/>
    <col min="280" max="280" width="17.109375" bestFit="1" customWidth="1"/>
    <col min="281" max="281" width="29" bestFit="1" customWidth="1"/>
    <col min="282" max="282" width="9.33203125" bestFit="1" customWidth="1"/>
    <col min="283" max="283" width="21.88671875" bestFit="1" customWidth="1"/>
    <col min="284" max="284" width="19" bestFit="1" customWidth="1"/>
    <col min="285" max="285" width="15.109375" bestFit="1" customWidth="1"/>
    <col min="286" max="286" width="18.33203125" bestFit="1" customWidth="1"/>
    <col min="287" max="287" width="20.109375" bestFit="1" customWidth="1"/>
    <col min="288" max="288" width="18.33203125" bestFit="1" customWidth="1"/>
    <col min="289" max="289" width="20.109375" bestFit="1" customWidth="1"/>
    <col min="290" max="290" width="16.33203125" bestFit="1" customWidth="1"/>
    <col min="291" max="291" width="26.88671875" bestFit="1" customWidth="1"/>
    <col min="292" max="292" width="21.44140625" bestFit="1" customWidth="1"/>
    <col min="293" max="293" width="16.44140625" bestFit="1" customWidth="1"/>
    <col min="294" max="294" width="27" bestFit="1" customWidth="1"/>
    <col min="295" max="295" width="21.44140625" bestFit="1" customWidth="1"/>
    <col min="296" max="296" width="16.44140625" bestFit="1" customWidth="1"/>
    <col min="297" max="297" width="27" bestFit="1" customWidth="1"/>
    <col min="298" max="298" width="29" style="1" bestFit="1" customWidth="1"/>
    <col min="299" max="299" width="9" bestFit="1" customWidth="1"/>
    <col min="300" max="300" width="21.88671875" style="3" bestFit="1" customWidth="1"/>
    <col min="301" max="301" width="19" style="3" bestFit="1" customWidth="1"/>
    <col min="302" max="302" width="15.109375" style="3" bestFit="1" customWidth="1"/>
    <col min="303" max="303" width="18.33203125" style="3" bestFit="1" customWidth="1"/>
    <col min="304" max="304" width="20.109375" bestFit="1" customWidth="1"/>
    <col min="305" max="306" width="57.44140625" bestFit="1" customWidth="1"/>
    <col min="307" max="307" width="56.5546875" bestFit="1" customWidth="1"/>
    <col min="308" max="310" width="56.6640625" bestFit="1" customWidth="1"/>
    <col min="311" max="311" width="55.33203125" bestFit="1" customWidth="1"/>
    <col min="312" max="312" width="55.5546875" bestFit="1" customWidth="1"/>
    <col min="313" max="313" width="48.33203125" bestFit="1" customWidth="1"/>
    <col min="314" max="314" width="48.88671875" bestFit="1" customWidth="1"/>
    <col min="315" max="315" width="59.33203125" bestFit="1" customWidth="1"/>
    <col min="316" max="316" width="58.44140625" bestFit="1" customWidth="1"/>
    <col min="317" max="317" width="59" bestFit="1" customWidth="1"/>
    <col min="318" max="318" width="61.88671875" bestFit="1" customWidth="1"/>
    <col min="319" max="319" width="55.88671875" bestFit="1" customWidth="1"/>
    <col min="320" max="321" width="56.109375" bestFit="1" customWidth="1"/>
    <col min="322" max="322" width="55.88671875" bestFit="1" customWidth="1"/>
    <col min="323" max="324" width="56.109375" bestFit="1" customWidth="1"/>
    <col min="325" max="325" width="51.88671875" bestFit="1" customWidth="1"/>
    <col min="326" max="326" width="60.33203125" bestFit="1" customWidth="1"/>
    <col min="327" max="327" width="58.33203125" bestFit="1" customWidth="1"/>
    <col min="328" max="328" width="61.33203125" bestFit="1" customWidth="1"/>
    <col min="329" max="329" width="51.33203125" bestFit="1" customWidth="1"/>
    <col min="330" max="331" width="51.44140625" bestFit="1" customWidth="1"/>
    <col min="332" max="332" width="54.6640625" bestFit="1" customWidth="1"/>
    <col min="333" max="334" width="55" bestFit="1" customWidth="1"/>
    <col min="335" max="335" width="56.109375" bestFit="1" customWidth="1"/>
    <col min="336" max="336" width="56.44140625" bestFit="1" customWidth="1"/>
    <col min="337" max="337" width="56.5546875" bestFit="1" customWidth="1"/>
    <col min="338" max="338" width="58.33203125" bestFit="1" customWidth="1"/>
    <col min="339" max="339" width="53.109375" bestFit="1" customWidth="1"/>
    <col min="340" max="340" width="42.6640625" bestFit="1" customWidth="1"/>
    <col min="341" max="341" width="56.33203125" bestFit="1" customWidth="1"/>
    <col min="342" max="342" width="53.33203125" bestFit="1" customWidth="1"/>
    <col min="343" max="343" width="42.88671875" bestFit="1" customWidth="1"/>
    <col min="344" max="344" width="57.6640625" bestFit="1" customWidth="1"/>
    <col min="345" max="345" width="53.33203125" bestFit="1" customWidth="1"/>
    <col min="346" max="346" width="42.88671875" bestFit="1" customWidth="1"/>
    <col min="347" max="347" width="60.6640625" bestFit="1" customWidth="1"/>
    <col min="348" max="349" width="60.88671875" bestFit="1" customWidth="1"/>
    <col min="350" max="350" width="58.33203125" bestFit="1" customWidth="1"/>
    <col min="351" max="351" width="59" bestFit="1" customWidth="1"/>
    <col min="352" max="352" width="58.88671875" bestFit="1" customWidth="1"/>
    <col min="353" max="353" width="59.33203125" bestFit="1" customWidth="1"/>
    <col min="354" max="355" width="59.5546875" bestFit="1" customWidth="1"/>
    <col min="356" max="356" width="57.5546875" bestFit="1" customWidth="1"/>
    <col min="357" max="357" width="56.5546875" bestFit="1" customWidth="1"/>
    <col min="358" max="358" width="57.6640625" bestFit="1" customWidth="1"/>
    <col min="359" max="359" width="60.5546875" bestFit="1" customWidth="1"/>
    <col min="360" max="361" width="62.109375" bestFit="1" customWidth="1"/>
    <col min="362" max="362" width="57.88671875" bestFit="1" customWidth="1"/>
    <col min="363" max="363" width="58.6640625" bestFit="1" customWidth="1"/>
    <col min="364" max="364" width="58.109375" bestFit="1" customWidth="1"/>
    <col min="365" max="365" width="54" bestFit="1" customWidth="1"/>
    <col min="366" max="366" width="55.44140625" bestFit="1" customWidth="1"/>
    <col min="367" max="367" width="57.5546875" bestFit="1" customWidth="1"/>
    <col min="368" max="368" width="59.109375" bestFit="1" customWidth="1"/>
    <col min="369" max="369" width="58.33203125" bestFit="1" customWidth="1"/>
    <col min="370" max="370" width="52.6640625" bestFit="1" customWidth="1"/>
    <col min="371" max="371" width="62.44140625" bestFit="1" customWidth="1"/>
    <col min="372" max="373" width="60.6640625" bestFit="1" customWidth="1"/>
    <col min="374" max="374" width="61.44140625" bestFit="1" customWidth="1"/>
    <col min="375" max="375" width="60.5546875" bestFit="1" customWidth="1"/>
    <col min="376" max="377" width="60.6640625" bestFit="1" customWidth="1"/>
    <col min="378" max="378" width="59.5546875" bestFit="1" customWidth="1"/>
    <col min="379" max="379" width="59.6640625" bestFit="1" customWidth="1"/>
    <col min="380" max="380" width="58.44140625" bestFit="1" customWidth="1"/>
    <col min="381" max="381" width="58.6640625" bestFit="1" customWidth="1"/>
    <col min="382" max="383" width="59.6640625" bestFit="1" customWidth="1"/>
    <col min="384" max="384" width="60.33203125" bestFit="1" customWidth="1"/>
    <col min="385" max="386" width="60.5546875" bestFit="1" customWidth="1"/>
    <col min="387" max="387" width="60.33203125" bestFit="1" customWidth="1"/>
    <col min="388" max="389" width="60.5546875" bestFit="1" customWidth="1"/>
    <col min="390" max="390" width="58.6640625" bestFit="1" customWidth="1"/>
    <col min="391" max="391" width="58.88671875" bestFit="1" customWidth="1"/>
    <col min="392" max="392" width="60.109375" bestFit="1" customWidth="1"/>
    <col min="393" max="393" width="59.109375" bestFit="1" customWidth="1"/>
    <col min="394" max="394" width="59.33203125" bestFit="1" customWidth="1"/>
    <col min="395" max="395" width="59.6640625" bestFit="1" customWidth="1"/>
    <col min="396" max="396" width="59.33203125" bestFit="1" customWidth="1"/>
    <col min="397" max="397" width="55" bestFit="1" customWidth="1"/>
    <col min="398" max="398" width="58.44140625" bestFit="1" customWidth="1"/>
    <col min="399" max="399" width="59.6640625" bestFit="1" customWidth="1"/>
    <col min="400" max="401" width="58.33203125" bestFit="1" customWidth="1"/>
    <col min="402" max="402" width="59" bestFit="1" customWidth="1"/>
    <col min="403" max="403" width="59.6640625" bestFit="1" customWidth="1"/>
    <col min="404" max="404" width="59" bestFit="1" customWidth="1"/>
    <col min="405" max="405" width="59.33203125" bestFit="1" customWidth="1"/>
    <col min="406" max="406" width="45.6640625" bestFit="1" customWidth="1"/>
    <col min="407" max="407" width="59.33203125" bestFit="1" customWidth="1"/>
    <col min="408" max="408" width="57.88671875" bestFit="1" customWidth="1"/>
    <col min="409" max="409" width="55" bestFit="1" customWidth="1"/>
    <col min="410" max="410" width="59.5546875" bestFit="1" customWidth="1"/>
    <col min="411" max="411" width="60.109375" bestFit="1" customWidth="1"/>
    <col min="412" max="412" width="59.6640625" bestFit="1" customWidth="1"/>
    <col min="413" max="413" width="61" bestFit="1" customWidth="1"/>
    <col min="414" max="414" width="61.33203125" bestFit="1" customWidth="1"/>
    <col min="415" max="415" width="60.5546875" bestFit="1" customWidth="1"/>
    <col min="416" max="416" width="58.6640625" bestFit="1" customWidth="1"/>
    <col min="417" max="417" width="59.6640625" bestFit="1" customWidth="1"/>
    <col min="418" max="418" width="58.6640625" bestFit="1" customWidth="1"/>
    <col min="419" max="419" width="63.109375" bestFit="1" customWidth="1"/>
    <col min="420" max="420" width="63.33203125" bestFit="1" customWidth="1"/>
    <col min="421" max="421" width="60.33203125" bestFit="1" customWidth="1"/>
    <col min="422" max="422" width="63.109375" bestFit="1" customWidth="1"/>
    <col min="423" max="423" width="12" bestFit="1" customWidth="1"/>
    <col min="424" max="424" width="12.6640625" bestFit="1" customWidth="1"/>
    <col min="425" max="425" width="12" bestFit="1" customWidth="1"/>
    <col min="426" max="426" width="20.109375" bestFit="1" customWidth="1"/>
    <col min="427" max="428" width="20.33203125" bestFit="1" customWidth="1"/>
    <col min="429" max="429" width="20.6640625" bestFit="1" customWidth="1"/>
    <col min="430" max="431" width="20.88671875" bestFit="1" customWidth="1"/>
    <col min="432" max="432" width="30.109375" bestFit="1" customWidth="1"/>
    <col min="433" max="434" width="30.33203125" bestFit="1" customWidth="1"/>
    <col min="435" max="435" width="12.6640625" bestFit="1" customWidth="1"/>
    <col min="436" max="436" width="26.33203125" bestFit="1" customWidth="1"/>
    <col min="437" max="437" width="12.6640625" bestFit="1" customWidth="1"/>
    <col min="438" max="438" width="26.33203125" bestFit="1" customWidth="1"/>
    <col min="439" max="439" width="12.6640625" bestFit="1" customWidth="1"/>
    <col min="440" max="440" width="26.33203125" bestFit="1" customWidth="1"/>
    <col min="441" max="441" width="22.6640625" bestFit="1" customWidth="1"/>
    <col min="442" max="442" width="17.6640625" bestFit="1" customWidth="1"/>
    <col min="443" max="443" width="28.6640625" bestFit="1" customWidth="1"/>
    <col min="444" max="444" width="22.6640625" bestFit="1" customWidth="1"/>
    <col min="445" max="445" width="17.88671875" bestFit="1" customWidth="1"/>
    <col min="446" max="446" width="28.88671875" bestFit="1" customWidth="1"/>
    <col min="447" max="447" width="22.6640625" bestFit="1" customWidth="1"/>
    <col min="448" max="448" width="17.88671875" bestFit="1" customWidth="1"/>
    <col min="449" max="449" width="28.88671875" bestFit="1" customWidth="1"/>
  </cols>
  <sheetData>
    <row r="1" spans="2:303" ht="39" thickBot="1" x14ac:dyDescent="0.3">
      <c r="B1" s="30"/>
      <c r="D1" s="36"/>
      <c r="E1" s="36"/>
      <c r="F1" s="36"/>
      <c r="G1" s="36"/>
      <c r="KL1" s="31" t="s">
        <v>190</v>
      </c>
      <c r="KM1" s="32">
        <v>82</v>
      </c>
    </row>
    <row r="2" spans="2:303" ht="13.8" thickTop="1" x14ac:dyDescent="0.25">
      <c r="B2" t="s">
        <v>294</v>
      </c>
      <c r="C2" t="s">
        <v>13</v>
      </c>
      <c r="D2" t="s">
        <v>1</v>
      </c>
      <c r="E2" t="s">
        <v>14</v>
      </c>
      <c r="F2" t="s">
        <v>15</v>
      </c>
      <c r="G2" t="s">
        <v>16</v>
      </c>
      <c r="H2" t="s">
        <v>17</v>
      </c>
      <c r="I2" t="s">
        <v>18</v>
      </c>
      <c r="J2" t="s">
        <v>19</v>
      </c>
      <c r="K2" t="s">
        <v>20</v>
      </c>
      <c r="L2" t="s">
        <v>21</v>
      </c>
      <c r="M2" t="s">
        <v>22</v>
      </c>
      <c r="N2" t="s">
        <v>23</v>
      </c>
      <c r="O2" t="s">
        <v>24</v>
      </c>
      <c r="P2" t="s">
        <v>25</v>
      </c>
      <c r="Q2" t="s">
        <v>26</v>
      </c>
      <c r="R2" t="s">
        <v>27</v>
      </c>
      <c r="S2" t="s">
        <v>28</v>
      </c>
      <c r="T2" t="s">
        <v>29</v>
      </c>
      <c r="U2" t="s">
        <v>30</v>
      </c>
      <c r="V2" t="s">
        <v>31</v>
      </c>
      <c r="W2" t="s">
        <v>32</v>
      </c>
      <c r="X2" t="s">
        <v>33</v>
      </c>
      <c r="Y2" t="s">
        <v>34</v>
      </c>
      <c r="Z2" t="s">
        <v>35</v>
      </c>
      <c r="AA2" t="s">
        <v>36</v>
      </c>
      <c r="AB2" t="s">
        <v>37</v>
      </c>
      <c r="AC2" t="s">
        <v>38</v>
      </c>
      <c r="AD2" t="s">
        <v>39</v>
      </c>
      <c r="AE2" t="s">
        <v>40</v>
      </c>
      <c r="AF2" t="s">
        <v>41</v>
      </c>
      <c r="AG2" t="s">
        <v>42</v>
      </c>
      <c r="AH2" t="s">
        <v>43</v>
      </c>
      <c r="AI2" t="s">
        <v>44</v>
      </c>
      <c r="AJ2" t="s">
        <v>45</v>
      </c>
      <c r="AK2" t="s">
        <v>46</v>
      </c>
      <c r="AL2" t="s">
        <v>47</v>
      </c>
      <c r="AM2" t="s">
        <v>48</v>
      </c>
      <c r="AN2" t="s">
        <v>49</v>
      </c>
      <c r="AO2" t="s">
        <v>50</v>
      </c>
      <c r="AP2" t="s">
        <v>51</v>
      </c>
      <c r="AQ2" t="s">
        <v>52</v>
      </c>
      <c r="AR2" t="s">
        <v>53</v>
      </c>
      <c r="AS2" t="s">
        <v>54</v>
      </c>
      <c r="AT2" t="s">
        <v>55</v>
      </c>
      <c r="AU2" t="s">
        <v>56</v>
      </c>
      <c r="AV2" t="s">
        <v>57</v>
      </c>
      <c r="AW2" t="s">
        <v>58</v>
      </c>
      <c r="AX2" t="s">
        <v>59</v>
      </c>
      <c r="AY2" t="s">
        <v>60</v>
      </c>
      <c r="AZ2" t="s">
        <v>61</v>
      </c>
      <c r="BA2" t="s">
        <v>62</v>
      </c>
      <c r="BB2" t="s">
        <v>63</v>
      </c>
      <c r="BC2" t="s">
        <v>64</v>
      </c>
      <c r="BD2" t="s">
        <v>65</v>
      </c>
      <c r="BE2" t="s">
        <v>66</v>
      </c>
      <c r="BF2" t="s">
        <v>67</v>
      </c>
      <c r="BG2" t="s">
        <v>68</v>
      </c>
      <c r="BH2" t="s">
        <v>69</v>
      </c>
      <c r="BI2" t="s">
        <v>70</v>
      </c>
      <c r="BJ2" t="s">
        <v>71</v>
      </c>
      <c r="BK2" t="s">
        <v>72</v>
      </c>
      <c r="BL2" t="s">
        <v>73</v>
      </c>
      <c r="BM2" t="s">
        <v>74</v>
      </c>
      <c r="BN2" t="s">
        <v>75</v>
      </c>
      <c r="BO2" t="s">
        <v>76</v>
      </c>
      <c r="BP2" t="s">
        <v>77</v>
      </c>
      <c r="BQ2" t="s">
        <v>78</v>
      </c>
      <c r="BR2" t="s">
        <v>79</v>
      </c>
      <c r="BS2" t="s">
        <v>80</v>
      </c>
      <c r="BT2" t="s">
        <v>81</v>
      </c>
      <c r="BU2" t="s">
        <v>82</v>
      </c>
      <c r="BV2" t="s">
        <v>83</v>
      </c>
      <c r="BW2" t="s">
        <v>84</v>
      </c>
      <c r="BX2" t="s">
        <v>85</v>
      </c>
      <c r="BY2" t="s">
        <v>86</v>
      </c>
      <c r="BZ2" t="s">
        <v>87</v>
      </c>
      <c r="CA2" t="s">
        <v>88</v>
      </c>
      <c r="CB2" t="s">
        <v>89</v>
      </c>
      <c r="CC2" t="s">
        <v>90</v>
      </c>
      <c r="CD2" t="s">
        <v>91</v>
      </c>
      <c r="CE2" t="s">
        <v>92</v>
      </c>
      <c r="CF2" t="s">
        <v>93</v>
      </c>
      <c r="CG2" t="s">
        <v>94</v>
      </c>
      <c r="CH2" t="s">
        <v>95</v>
      </c>
      <c r="CI2" t="s">
        <v>96</v>
      </c>
      <c r="CJ2" t="s">
        <v>97</v>
      </c>
      <c r="CK2" t="s">
        <v>98</v>
      </c>
      <c r="CL2" t="s">
        <v>99</v>
      </c>
      <c r="CM2" t="s">
        <v>100</v>
      </c>
      <c r="CN2" t="s">
        <v>101</v>
      </c>
      <c r="CO2" t="s">
        <v>102</v>
      </c>
      <c r="CP2" t="s">
        <v>103</v>
      </c>
      <c r="CQ2" t="s">
        <v>104</v>
      </c>
      <c r="CR2" t="s">
        <v>105</v>
      </c>
      <c r="CS2" t="s">
        <v>106</v>
      </c>
      <c r="CT2" t="s">
        <v>107</v>
      </c>
      <c r="CU2" t="s">
        <v>108</v>
      </c>
      <c r="CV2" t="s">
        <v>109</v>
      </c>
      <c r="CW2" t="s">
        <v>110</v>
      </c>
      <c r="CX2" t="s">
        <v>111</v>
      </c>
      <c r="CY2" t="s">
        <v>112</v>
      </c>
      <c r="CZ2" t="s">
        <v>113</v>
      </c>
      <c r="DA2" t="s">
        <v>114</v>
      </c>
      <c r="DB2" t="s">
        <v>115</v>
      </c>
      <c r="DC2" t="s">
        <v>116</v>
      </c>
      <c r="DD2" t="s">
        <v>117</v>
      </c>
      <c r="DE2" t="s">
        <v>118</v>
      </c>
      <c r="DF2" t="s">
        <v>119</v>
      </c>
      <c r="DG2" t="s">
        <v>120</v>
      </c>
      <c r="DH2" t="s">
        <v>121</v>
      </c>
      <c r="DI2" t="s">
        <v>122</v>
      </c>
      <c r="DJ2" t="s">
        <v>123</v>
      </c>
      <c r="DK2" t="s">
        <v>124</v>
      </c>
      <c r="DL2" t="s">
        <v>125</v>
      </c>
      <c r="DM2" t="s">
        <v>126</v>
      </c>
      <c r="DN2" t="s">
        <v>127</v>
      </c>
      <c r="DO2" t="s">
        <v>128</v>
      </c>
      <c r="DP2" t="s">
        <v>129</v>
      </c>
      <c r="DQ2" t="s">
        <v>130</v>
      </c>
      <c r="DR2" t="s">
        <v>131</v>
      </c>
      <c r="DS2" t="s">
        <v>132</v>
      </c>
      <c r="DT2" t="s">
        <v>133</v>
      </c>
      <c r="DU2" t="s">
        <v>134</v>
      </c>
      <c r="DV2" t="s">
        <v>135</v>
      </c>
      <c r="DW2" t="s">
        <v>136</v>
      </c>
      <c r="DX2" t="s">
        <v>137</v>
      </c>
      <c r="DY2" t="s">
        <v>138</v>
      </c>
      <c r="DZ2" t="s">
        <v>139</v>
      </c>
      <c r="EA2" t="s">
        <v>140</v>
      </c>
      <c r="EB2" t="s">
        <v>141</v>
      </c>
      <c r="EC2" t="s">
        <v>142</v>
      </c>
      <c r="ED2" t="s">
        <v>143</v>
      </c>
      <c r="EE2" t="s">
        <v>144</v>
      </c>
      <c r="EF2" t="s">
        <v>145</v>
      </c>
      <c r="EG2" t="s">
        <v>146</v>
      </c>
      <c r="EH2" t="s">
        <v>147</v>
      </c>
      <c r="EI2" t="s">
        <v>148</v>
      </c>
      <c r="EJ2" t="s">
        <v>149</v>
      </c>
      <c r="EK2" t="s">
        <v>150</v>
      </c>
      <c r="EL2" t="s">
        <v>197</v>
      </c>
      <c r="EM2" t="s">
        <v>301</v>
      </c>
      <c r="EN2" t="s">
        <v>302</v>
      </c>
      <c r="EO2" t="s">
        <v>303</v>
      </c>
      <c r="EP2" s="2" t="s">
        <v>188</v>
      </c>
      <c r="EQ2" s="30" t="s">
        <v>189</v>
      </c>
      <c r="ER2" s="33" t="s">
        <v>192</v>
      </c>
      <c r="ES2" s="33" t="s">
        <v>195</v>
      </c>
      <c r="ET2" s="33" t="s">
        <v>191</v>
      </c>
      <c r="EU2" s="33" t="s">
        <v>193</v>
      </c>
      <c r="EV2" s="30" t="s">
        <v>194</v>
      </c>
      <c r="KL2"/>
      <c r="KN2"/>
      <c r="KO2"/>
      <c r="KP2"/>
      <c r="KQ2"/>
    </row>
    <row r="3" spans="2:303" x14ac:dyDescent="0.25">
      <c r="C3" s="34">
        <v>46104</v>
      </c>
      <c r="D3">
        <v>1</v>
      </c>
      <c r="E3" s="35">
        <v>46104.041666666664</v>
      </c>
      <c r="F3">
        <v>19.649310783016418</v>
      </c>
      <c r="G3">
        <v>87.757826707102438</v>
      </c>
      <c r="H3">
        <v>1007.3203437113784</v>
      </c>
      <c r="I3">
        <v>59</v>
      </c>
      <c r="J3">
        <v>19.379007713670735</v>
      </c>
      <c r="K3">
        <v>18.402465092424816</v>
      </c>
      <c r="L3">
        <v>18.5651518519179</v>
      </c>
      <c r="M3">
        <v>18.861866106615594</v>
      </c>
      <c r="N3">
        <v>3001.2530433333336</v>
      </c>
      <c r="O3">
        <v>3001.2957952777774</v>
      </c>
      <c r="P3">
        <v>3001.22433486111</v>
      </c>
      <c r="Q3">
        <v>3001.154394861112</v>
      </c>
      <c r="R3">
        <v>3078</v>
      </c>
      <c r="S3">
        <v>6465.6356444444446</v>
      </c>
      <c r="T3">
        <v>3</v>
      </c>
      <c r="U3">
        <v>536.90799276023006</v>
      </c>
      <c r="V3">
        <v>119.0920317057292</v>
      </c>
      <c r="W3">
        <v>121.56802926649306</v>
      </c>
      <c r="X3">
        <v>127.1142486458333</v>
      </c>
      <c r="Y3">
        <v>182.73172697916669</v>
      </c>
      <c r="Z3">
        <v>818.1472813888887</v>
      </c>
      <c r="AA3">
        <v>876.18848986111118</v>
      </c>
      <c r="AB3">
        <v>892.27777611111094</v>
      </c>
      <c r="AC3">
        <v>234.5758105381945</v>
      </c>
      <c r="AD3">
        <v>241.92188621527777</v>
      </c>
      <c r="AE3">
        <v>256.46102390624998</v>
      </c>
      <c r="AF3">
        <v>-0.99912669598049575</v>
      </c>
      <c r="AG3">
        <v>-0.67491132288614908</v>
      </c>
      <c r="AH3">
        <v>-0.99982629694620773</v>
      </c>
      <c r="AI3">
        <v>-0.99602548684825509</v>
      </c>
      <c r="AJ3">
        <v>86.307814390190956</v>
      </c>
      <c r="AK3">
        <v>84.148765585937511</v>
      </c>
      <c r="AL3">
        <v>85.848814702690945</v>
      </c>
      <c r="AM3">
        <v>358.55551170144821</v>
      </c>
      <c r="AN3">
        <v>356.02233364321393</v>
      </c>
      <c r="AO3">
        <v>358.43890808328416</v>
      </c>
      <c r="AP3">
        <v>11.137732965433862</v>
      </c>
      <c r="AQ3">
        <v>11.381245594476329</v>
      </c>
      <c r="AR3">
        <v>11.506925532585516</v>
      </c>
      <c r="AS3">
        <v>553.91964466233992</v>
      </c>
      <c r="AT3">
        <v>23.233992899945573</v>
      </c>
      <c r="AU3">
        <v>36.318736328598661</v>
      </c>
      <c r="AV3">
        <v>544.37871079525416</v>
      </c>
      <c r="AW3">
        <v>22.992033747392224</v>
      </c>
      <c r="AX3">
        <v>36.347602263673146</v>
      </c>
      <c r="AY3">
        <v>549.40065302407152</v>
      </c>
      <c r="AZ3">
        <v>23.180085765782998</v>
      </c>
      <c r="BA3">
        <v>36.326714138414602</v>
      </c>
      <c r="BB3">
        <v>8374.0048462575978</v>
      </c>
      <c r="BC3">
        <v>8334.4990268088095</v>
      </c>
      <c r="BD3">
        <v>8077.5652225160047</v>
      </c>
      <c r="BE3">
        <v>576.17859966442529</v>
      </c>
      <c r="BF3">
        <v>570.28355462610864</v>
      </c>
      <c r="BG3">
        <v>572.61539792421127</v>
      </c>
      <c r="BH3">
        <v>527.66068106375781</v>
      </c>
      <c r="BI3">
        <v>520.88859364157793</v>
      </c>
      <c r="BJ3">
        <v>523.05195964028235</v>
      </c>
      <c r="BK3">
        <v>275.6012316297489</v>
      </c>
      <c r="BL3">
        <v>274.55612451444847</v>
      </c>
      <c r="BM3">
        <v>273.93883346922985</v>
      </c>
      <c r="BN3">
        <v>175.55893013088638</v>
      </c>
      <c r="BO3">
        <v>169.89815796583386</v>
      </c>
      <c r="BP3">
        <v>174.33052247880724</v>
      </c>
      <c r="BQ3">
        <v>54.902078899219291</v>
      </c>
      <c r="BR3">
        <v>55.579342543668723</v>
      </c>
      <c r="BS3">
        <v>57.663298042965977</v>
      </c>
      <c r="BT3">
        <v>526.35536128828255</v>
      </c>
      <c r="BU3">
        <v>80.656173914099796</v>
      </c>
      <c r="BV3">
        <v>274.41612516830446</v>
      </c>
      <c r="BW3">
        <v>91.294343031684036</v>
      </c>
      <c r="BX3">
        <v>45.218174459677797</v>
      </c>
      <c r="BY3">
        <v>81.039612507328457</v>
      </c>
      <c r="BZ3">
        <v>-91.445001381354857</v>
      </c>
      <c r="CA3">
        <v>173.75752399525106</v>
      </c>
      <c r="CB3">
        <v>170.3758984701241</v>
      </c>
      <c r="CC3">
        <v>169.05735230049982</v>
      </c>
      <c r="CD3">
        <v>177.23683803275631</v>
      </c>
      <c r="CE3">
        <v>173.82840468450331</v>
      </c>
      <c r="CF3">
        <v>172.39540732370165</v>
      </c>
      <c r="CG3">
        <v>52.225757785342509</v>
      </c>
      <c r="CH3">
        <v>52.785684183326289</v>
      </c>
      <c r="CI3">
        <v>54.567774509046345</v>
      </c>
      <c r="CJ3">
        <v>52.863420554595521</v>
      </c>
      <c r="CK3">
        <v>53.464725169650187</v>
      </c>
      <c r="CL3">
        <v>55.365406292333631</v>
      </c>
      <c r="CM3">
        <v>5.4007901190696836</v>
      </c>
      <c r="CN3">
        <v>4.9355147766693417</v>
      </c>
      <c r="CO3">
        <v>5.0746099893330889</v>
      </c>
      <c r="CP3">
        <v>5.459946142552627</v>
      </c>
      <c r="CQ3">
        <v>4.9888708234057138</v>
      </c>
      <c r="CR3">
        <v>5.1321352501511575</v>
      </c>
      <c r="CS3">
        <v>109.72404255452471</v>
      </c>
      <c r="CT3">
        <v>109.41987140112556</v>
      </c>
      <c r="CU3">
        <v>110.18873433361895</v>
      </c>
      <c r="CV3">
        <v>108.43532834972596</v>
      </c>
      <c r="CW3">
        <v>108.32664037361778</v>
      </c>
      <c r="CX3">
        <v>108.6362059745598</v>
      </c>
      <c r="CY3">
        <v>10437.975344374459</v>
      </c>
      <c r="CZ3">
        <v>1281.3371307284888</v>
      </c>
      <c r="DA3">
        <v>48.304132773993828</v>
      </c>
      <c r="DB3">
        <v>38.269833278735483</v>
      </c>
      <c r="DC3">
        <v>44.876567741889964</v>
      </c>
      <c r="DD3">
        <v>110.30562219921745</v>
      </c>
      <c r="DE3">
        <v>109.75348715454315</v>
      </c>
      <c r="DF3">
        <v>110.43280749460432</v>
      </c>
      <c r="DG3">
        <v>8734.8105013566092</v>
      </c>
      <c r="DH3">
        <v>8676.8603150640192</v>
      </c>
      <c r="DI3">
        <v>8592.4695554443351</v>
      </c>
      <c r="DJ3">
        <v>659.81646743967679</v>
      </c>
      <c r="DK3">
        <v>661.83951241163459</v>
      </c>
      <c r="DL3">
        <v>647.79749828613285</v>
      </c>
      <c r="DM3">
        <v>51.196113499884099</v>
      </c>
      <c r="DN3">
        <v>43.165893217216066</v>
      </c>
      <c r="DO3">
        <v>49.321084608391665</v>
      </c>
      <c r="DP3">
        <v>121.84755138758976</v>
      </c>
      <c r="DQ3">
        <v>126.07357163724261</v>
      </c>
      <c r="DR3">
        <v>129.87623296412997</v>
      </c>
      <c r="DS3">
        <v>171.05485667557608</v>
      </c>
      <c r="DT3">
        <v>33215.718848708748</v>
      </c>
      <c r="DU3">
        <v>29.225646702486664</v>
      </c>
      <c r="DV3">
        <v>39.801544726909</v>
      </c>
      <c r="DW3">
        <v>39.287440020762567</v>
      </c>
      <c r="DX3">
        <v>40.775810919670533</v>
      </c>
      <c r="DY3">
        <v>3.2249497588723877</v>
      </c>
      <c r="DZ3">
        <v>3.4943014056140864</v>
      </c>
      <c r="EA3">
        <v>4.8758019753711768</v>
      </c>
      <c r="EB3">
        <v>2.2226000583442707</v>
      </c>
      <c r="EC3">
        <v>51.802065069444431</v>
      </c>
      <c r="ED3">
        <v>70.333594768880218</v>
      </c>
      <c r="EE3">
        <v>70.986707058376737</v>
      </c>
      <c r="EF3">
        <v>42.624881223958333</v>
      </c>
      <c r="EG3">
        <v>58.708555356987844</v>
      </c>
      <c r="EH3">
        <v>58.800020362413193</v>
      </c>
      <c r="EI3">
        <v>23.471593256534469</v>
      </c>
      <c r="EJ3">
        <v>23.449292583765455</v>
      </c>
      <c r="EK3">
        <v>23.448919043864144</v>
      </c>
      <c r="EL3" s="123" t="s">
        <v>198</v>
      </c>
      <c r="EM3" s="123"/>
      <c r="EN3" s="123"/>
      <c r="EO3" s="123"/>
      <c r="EP3" s="2" t="e">
        <f>Base_Data_2026[[#This Row],[GT1A_Gen_MW]]/(#REF!*#REF!*VLOOKUP(Base_Data_2026[[#This Row],[Date Only]],'Fuel. Gas specifications'!$A$9:$Y$48,23,FALSE))</f>
        <v>#REF!</v>
      </c>
      <c r="EQ3" s="123" t="str">
        <f>IF(AND(Base_Data_2026[[#This Row],[GT1A_IGV_Position]]&gt;$KM$1,Base_Data_2026[[#This Row],[GT1B_IGV_Position]]&gt;$KM$1,Base_Data_2026[[#This Row],[GT1C_IGV_Position]]&gt;$KM$1),"Full Load","Part Load")</f>
        <v>Full Load</v>
      </c>
      <c r="ER3" s="124" t="str">
        <f>_xlfn.TEXTJOIN(" | ",FALSE,TEXT(Base_Data_2026[[#This Row],[GT1A_GCV_Position]],"#,##0.0"),TEXT(Base_Data_2026[[#This Row],[GT1B_GCV_Position]],"#,##0.0"),TEXT(Base_Data_2026[[#This Row],[GT1C_GCV_Position]],"#,##0.0"))</f>
        <v>51.8 | 70.3 | 71.0</v>
      </c>
      <c r="ES3" s="124" t="str">
        <f>_xlfn.TEXTJOIN(" | ",FALSE,TEXT(Base_Data_2026[[#This Row],[GT1A_Fuel_Flow]],"#,##0.0"),TEXT(Base_Data_2026[[#This Row],[GT1B_Fuel_Flow]],"#,##0.0"),TEXT(Base_Data_2026[[#This Row],[GT1C_Fuel_Flow]],"#,##0.0"))</f>
        <v>23.2 | 23.0 | 23.2</v>
      </c>
      <c r="ET3" s="124" t="str">
        <f>_xlfn.TEXTJOIN(" | ",FALSE,TEXT(Base_Data_2026[[#This Row],[GT1A_Comp_Disch_Press]],"#,##0.0"),TEXT(Base_Data_2026[[#This Row],[GT1B_Comp_Disch_Press]],"#,##0.0"),TEXT(Base_Data_2026[[#This Row],[GT1C_Comp_Disch_Press]],"#,##0.0"))</f>
        <v>11.1 | 11.4 | 11.5</v>
      </c>
      <c r="EU3" s="125" t="str">
        <f>_xlfn.TEXTJOIN(" | ",FALSE,TEXT(Base_Data_2026[[#This Row],[GT1A_Turb_Exh_Temp]],"#,##0.0"),TEXT(Base_Data_2026[[#This Row],[GT1B_Turb_Exh_Temp]],"#,##0.0"),TEXT(Base_Data_2026[[#This Row],[GT1C_Turb_Exh_Temp]],"#,##0.0"))</f>
        <v>553.9 | 544.4 | 549.4</v>
      </c>
      <c r="EV3" s="124" t="str">
        <f>_xlfn.TEXTJOIN(" | ",FALSE,TEXT(Base_Data_2026[[#This Row],[GT1A_Gen_MW]],"#,##0.0"),TEXT(Base_Data_2026[[#This Row],[GT1B_Gen_MW]],"#,##0.0"),TEXT(Base_Data_2026[[#This Row],[GT1C_Gen_MW]],"#,##0.0"))</f>
        <v>119.1 | 121.6 | 127.1</v>
      </c>
      <c r="KL3"/>
      <c r="KN3"/>
      <c r="KO3"/>
      <c r="KP3"/>
      <c r="KQ3"/>
    </row>
    <row r="4" spans="2:303" x14ac:dyDescent="0.25">
      <c r="C4" s="34">
        <v>46104</v>
      </c>
      <c r="D4">
        <v>2</v>
      </c>
      <c r="E4" s="35">
        <v>46104.083333333336</v>
      </c>
      <c r="F4">
        <v>19.485763191843027</v>
      </c>
      <c r="G4">
        <v>87.099270438209118</v>
      </c>
      <c r="H4">
        <v>1006.6657649723137</v>
      </c>
      <c r="I4">
        <v>59</v>
      </c>
      <c r="J4">
        <v>19.106991727727788</v>
      </c>
      <c r="K4">
        <v>18.187876656521691</v>
      </c>
      <c r="L4">
        <v>18.267394237475393</v>
      </c>
      <c r="M4">
        <v>18.66243783261935</v>
      </c>
      <c r="N4">
        <v>3000.496174652777</v>
      </c>
      <c r="O4">
        <v>3000.6158894444443</v>
      </c>
      <c r="P4">
        <v>3000.5747026388885</v>
      </c>
      <c r="Q4">
        <v>3000.5425397222211</v>
      </c>
      <c r="R4">
        <v>3078</v>
      </c>
      <c r="S4">
        <v>6484.5398186111115</v>
      </c>
      <c r="T4">
        <v>3</v>
      </c>
      <c r="U4">
        <v>538.17576274297073</v>
      </c>
      <c r="V4">
        <v>119.36985973958332</v>
      </c>
      <c r="W4">
        <v>122.11004959635417</v>
      </c>
      <c r="X4">
        <v>127.49096088975692</v>
      </c>
      <c r="Y4">
        <v>183.04958884114581</v>
      </c>
      <c r="Z4">
        <v>828.63732180555542</v>
      </c>
      <c r="AA4">
        <v>881.896574722222</v>
      </c>
      <c r="AB4">
        <v>912.60359638888906</v>
      </c>
      <c r="AC4">
        <v>237.92332289062506</v>
      </c>
      <c r="AD4">
        <v>243.80355241319438</v>
      </c>
      <c r="AE4">
        <v>263.31821059895839</v>
      </c>
      <c r="AF4">
        <v>-0.93751504999796542</v>
      </c>
      <c r="AG4">
        <v>0.69105420571221254</v>
      </c>
      <c r="AH4">
        <v>0.37106008441501187</v>
      </c>
      <c r="AI4">
        <v>-0.99635060675488596</v>
      </c>
      <c r="AJ4">
        <v>86.303857078993062</v>
      </c>
      <c r="AK4">
        <v>84.144671425781254</v>
      </c>
      <c r="AL4">
        <v>85.849229275173599</v>
      </c>
      <c r="AM4">
        <v>358.43303153817072</v>
      </c>
      <c r="AN4">
        <v>355.94394212969468</v>
      </c>
      <c r="AO4">
        <v>358.27460696912976</v>
      </c>
      <c r="AP4">
        <v>11.151710662025346</v>
      </c>
      <c r="AQ4">
        <v>11.395664813292557</v>
      </c>
      <c r="AR4">
        <v>11.523861998118562</v>
      </c>
      <c r="AS4">
        <v>553.73905378904567</v>
      </c>
      <c r="AT4">
        <v>23.618074111604685</v>
      </c>
      <c r="AU4">
        <v>36.496485150202645</v>
      </c>
      <c r="AV4">
        <v>544.12001064471781</v>
      </c>
      <c r="AW4">
        <v>23.374483809286236</v>
      </c>
      <c r="AX4">
        <v>36.530370633864941</v>
      </c>
      <c r="AY4">
        <v>549.15864791556453</v>
      </c>
      <c r="AZ4">
        <v>23.565049779393938</v>
      </c>
      <c r="BA4">
        <v>36.4746889878326</v>
      </c>
      <c r="BB4">
        <v>8376.5676866680224</v>
      </c>
      <c r="BC4">
        <v>8338.8044026052521</v>
      </c>
      <c r="BD4">
        <v>8080.5472044521775</v>
      </c>
      <c r="BE4">
        <v>576.53236785017248</v>
      </c>
      <c r="BF4">
        <v>570.73282581776903</v>
      </c>
      <c r="BG4">
        <v>572.9410923513625</v>
      </c>
      <c r="BH4">
        <v>527.42187366909457</v>
      </c>
      <c r="BI4">
        <v>520.61688135845611</v>
      </c>
      <c r="BJ4">
        <v>522.76859352257623</v>
      </c>
      <c r="BK4">
        <v>275.64384593207478</v>
      </c>
      <c r="BL4">
        <v>274.57026414094707</v>
      </c>
      <c r="BM4">
        <v>273.96954532921677</v>
      </c>
      <c r="BN4">
        <v>175.71755729496005</v>
      </c>
      <c r="BO4">
        <v>170.0499772180049</v>
      </c>
      <c r="BP4">
        <v>174.44841260221693</v>
      </c>
      <c r="BQ4">
        <v>54.971368446352251</v>
      </c>
      <c r="BR4">
        <v>55.669851325079591</v>
      </c>
      <c r="BS4">
        <v>57.752616605236263</v>
      </c>
      <c r="BT4">
        <v>526.04130185679116</v>
      </c>
      <c r="BU4">
        <v>80.687834235699981</v>
      </c>
      <c r="BV4">
        <v>274.50477729391309</v>
      </c>
      <c r="BW4">
        <v>91.314113369140628</v>
      </c>
      <c r="BX4">
        <v>44.984076523715132</v>
      </c>
      <c r="BY4">
        <v>80.297508350376546</v>
      </c>
      <c r="BZ4">
        <v>-91.499302222980916</v>
      </c>
      <c r="CA4">
        <v>174.03099209123837</v>
      </c>
      <c r="CB4">
        <v>170.17341097133638</v>
      </c>
      <c r="CC4">
        <v>169.11431502599925</v>
      </c>
      <c r="CD4">
        <v>177.44801798104609</v>
      </c>
      <c r="CE4">
        <v>173.55045195736784</v>
      </c>
      <c r="CF4">
        <v>172.44763385332749</v>
      </c>
      <c r="CG4">
        <v>52.324453773197604</v>
      </c>
      <c r="CH4">
        <v>52.71464244854397</v>
      </c>
      <c r="CI4">
        <v>54.811432324259009</v>
      </c>
      <c r="CJ4">
        <v>52.955836335678121</v>
      </c>
      <c r="CK4">
        <v>53.39555831680935</v>
      </c>
      <c r="CL4">
        <v>55.520852497415525</v>
      </c>
      <c r="CM4">
        <v>5.4105792064518408</v>
      </c>
      <c r="CN4">
        <v>4.9315778635809151</v>
      </c>
      <c r="CO4">
        <v>5.1078141917600233</v>
      </c>
      <c r="CP4">
        <v>5.4930088671155781</v>
      </c>
      <c r="CQ4">
        <v>4.987892819503017</v>
      </c>
      <c r="CR4">
        <v>5.1647145278536613</v>
      </c>
      <c r="CS4">
        <v>109.76615835420819</v>
      </c>
      <c r="CT4">
        <v>109.4731805402925</v>
      </c>
      <c r="CU4">
        <v>110.23396312854342</v>
      </c>
      <c r="CV4">
        <v>108.4355781493632</v>
      </c>
      <c r="CW4">
        <v>108.32090435969248</v>
      </c>
      <c r="CX4">
        <v>108.62892551564538</v>
      </c>
      <c r="CY4">
        <v>10431.596966799318</v>
      </c>
      <c r="CZ4">
        <v>1279.8645518635049</v>
      </c>
      <c r="DA4">
        <v>48.472091585294926</v>
      </c>
      <c r="DB4">
        <v>38.401526350330784</v>
      </c>
      <c r="DC4">
        <v>45.055683602685917</v>
      </c>
      <c r="DD4">
        <v>110.32672128592813</v>
      </c>
      <c r="DE4">
        <v>109.78811050858388</v>
      </c>
      <c r="DF4">
        <v>110.45015904753157</v>
      </c>
      <c r="DG4">
        <v>8738.5150734399376</v>
      </c>
      <c r="DH4">
        <v>8678.9520303879108</v>
      </c>
      <c r="DI4">
        <v>8594.8969729858418</v>
      </c>
      <c r="DJ4">
        <v>660.31736802490218</v>
      </c>
      <c r="DK4">
        <v>662.2747542269899</v>
      </c>
      <c r="DL4">
        <v>648.22934977813725</v>
      </c>
      <c r="DM4">
        <v>51.319867580402139</v>
      </c>
      <c r="DN4">
        <v>43.257862633895876</v>
      </c>
      <c r="DO4">
        <v>49.502674664414734</v>
      </c>
      <c r="DP4">
        <v>121.93831361029942</v>
      </c>
      <c r="DQ4">
        <v>126.1843512389331</v>
      </c>
      <c r="DR4">
        <v>129.97735392212761</v>
      </c>
      <c r="DS4">
        <v>171.03334833012468</v>
      </c>
      <c r="DT4">
        <v>32954.651801353088</v>
      </c>
      <c r="DU4">
        <v>28.921039396234089</v>
      </c>
      <c r="DV4">
        <v>39.549177313611793</v>
      </c>
      <c r="DW4">
        <v>39.04537819584953</v>
      </c>
      <c r="DX4">
        <v>40.591904955854396</v>
      </c>
      <c r="DY4">
        <v>3.1216133997978104</v>
      </c>
      <c r="DZ4">
        <v>3.4773061686020426</v>
      </c>
      <c r="EA4">
        <v>4.9281025638328648</v>
      </c>
      <c r="EB4">
        <v>2.381144652863409</v>
      </c>
      <c r="EC4">
        <v>52.650828350694454</v>
      </c>
      <c r="ED4">
        <v>71.738240381944451</v>
      </c>
      <c r="EE4">
        <v>72.171967840711801</v>
      </c>
      <c r="EF4">
        <v>43.355139155815976</v>
      </c>
      <c r="EG4">
        <v>59.869571432291679</v>
      </c>
      <c r="EH4">
        <v>59.805724752604156</v>
      </c>
      <c r="EI4">
        <v>23.449178418156826</v>
      </c>
      <c r="EJ4">
        <v>23.442719077736534</v>
      </c>
      <c r="EK4">
        <v>23.483346624370149</v>
      </c>
      <c r="EL4" s="123" t="s">
        <v>198</v>
      </c>
      <c r="EM4" s="123"/>
      <c r="EN4" s="123"/>
      <c r="EO4" s="123"/>
      <c r="EP4" s="2" t="e">
        <f>Base_Data_2026[[#This Row],[GT1A_Gen_MW]]/(#REF!*#REF!*VLOOKUP(Base_Data_2026[[#This Row],[Date Only]],'Fuel. Gas specifications'!$A$9:$Y$48,23,FALSE))</f>
        <v>#REF!</v>
      </c>
      <c r="EQ4" s="123" t="str">
        <f>IF(AND(Base_Data_2026[[#This Row],[GT1A_IGV_Position]]&gt;$KM$1,Base_Data_2026[[#This Row],[GT1B_IGV_Position]]&gt;$KM$1,Base_Data_2026[[#This Row],[GT1C_IGV_Position]]&gt;$KM$1),"Full Load","Part Load")</f>
        <v>Full Load</v>
      </c>
      <c r="ER4" s="124" t="str">
        <f>_xlfn.TEXTJOIN(" | ",FALSE,TEXT(Base_Data_2026[[#This Row],[GT1A_GCV_Position]],"#,##0.0"),TEXT(Base_Data_2026[[#This Row],[GT1B_GCV_Position]],"#,##0.0"),TEXT(Base_Data_2026[[#This Row],[GT1C_GCV_Position]],"#,##0.0"))</f>
        <v>52.7 | 71.7 | 72.2</v>
      </c>
      <c r="ES4" s="124" t="str">
        <f>_xlfn.TEXTJOIN(" | ",FALSE,TEXT(Base_Data_2026[[#This Row],[GT1A_Fuel_Flow]],"#,##0.0"),TEXT(Base_Data_2026[[#This Row],[GT1B_Fuel_Flow]],"#,##0.0"),TEXT(Base_Data_2026[[#This Row],[GT1C_Fuel_Flow]],"#,##0.0"))</f>
        <v>23.6 | 23.4 | 23.6</v>
      </c>
      <c r="ET4" s="124" t="str">
        <f>_xlfn.TEXTJOIN(" | ",FALSE,TEXT(Base_Data_2026[[#This Row],[GT1A_Comp_Disch_Press]],"#,##0.0"),TEXT(Base_Data_2026[[#This Row],[GT1B_Comp_Disch_Press]],"#,##0.0"),TEXT(Base_Data_2026[[#This Row],[GT1C_Comp_Disch_Press]],"#,##0.0"))</f>
        <v>11.2 | 11.4 | 11.5</v>
      </c>
      <c r="EU4" s="124" t="str">
        <f>_xlfn.TEXTJOIN(" | ",FALSE,TEXT(Base_Data_2026[[#This Row],[GT1A_Turb_Exh_Temp]],"#,##0.0"),TEXT(Base_Data_2026[[#This Row],[GT1B_Turb_Exh_Temp]],"#,##0.0"),TEXT(Base_Data_2026[[#This Row],[GT1C_Turb_Exh_Temp]],"#,##0.0"))</f>
        <v>553.7 | 544.1 | 549.2</v>
      </c>
      <c r="EV4" s="124" t="str">
        <f>_xlfn.TEXTJOIN(" | ",FALSE,TEXT(Base_Data_2026[[#This Row],[GT1A_Gen_MW]],"#,##0.0"),TEXT(Base_Data_2026[[#This Row],[GT1B_Gen_MW]],"#,##0.0"),TEXT(Base_Data_2026[[#This Row],[GT1C_Gen_MW]],"#,##0.0"))</f>
        <v>119.4 | 122.1 | 127.5</v>
      </c>
      <c r="KL4"/>
      <c r="KN4"/>
      <c r="KO4"/>
      <c r="KP4"/>
      <c r="KQ4"/>
    </row>
    <row r="5" spans="2:303" x14ac:dyDescent="0.25">
      <c r="C5" s="34">
        <v>46104</v>
      </c>
      <c r="D5">
        <v>3</v>
      </c>
      <c r="E5" s="35">
        <v>46104.125</v>
      </c>
      <c r="F5">
        <v>19.870079228246482</v>
      </c>
      <c r="G5">
        <v>84.008573936337356</v>
      </c>
      <c r="H5">
        <v>1005.7078043023175</v>
      </c>
      <c r="I5">
        <v>59</v>
      </c>
      <c r="J5">
        <v>19.039889998931351</v>
      </c>
      <c r="K5">
        <v>18.106624310775331</v>
      </c>
      <c r="L5">
        <v>18.223251406364973</v>
      </c>
      <c r="M5">
        <v>18.534800209621849</v>
      </c>
      <c r="N5">
        <v>2994.2950893750008</v>
      </c>
      <c r="O5">
        <v>2994.3017694444438</v>
      </c>
      <c r="P5">
        <v>2994.3304386805557</v>
      </c>
      <c r="Q5">
        <v>2994.271511319444</v>
      </c>
      <c r="R5">
        <v>3078</v>
      </c>
      <c r="S5">
        <v>6497.3897677777777</v>
      </c>
      <c r="T5">
        <v>3</v>
      </c>
      <c r="U5">
        <v>536.63337870208738</v>
      </c>
      <c r="V5">
        <v>118.94691572048609</v>
      </c>
      <c r="W5">
        <v>121.51912255208335</v>
      </c>
      <c r="X5">
        <v>126.95202023871528</v>
      </c>
      <c r="Y5">
        <v>182.85128030381952</v>
      </c>
      <c r="Z5">
        <v>822.3070201388889</v>
      </c>
      <c r="AA5">
        <v>873.15472250000005</v>
      </c>
      <c r="AB5">
        <v>911.68129986111114</v>
      </c>
      <c r="AC5">
        <v>235.91256852430561</v>
      </c>
      <c r="AD5">
        <v>240.71764089409734</v>
      </c>
      <c r="AE5">
        <v>263.11563871527767</v>
      </c>
      <c r="AF5">
        <v>-0.99945461281670478</v>
      </c>
      <c r="AG5">
        <v>-0.91823624642266166</v>
      </c>
      <c r="AH5">
        <v>0.99963738142225478</v>
      </c>
      <c r="AI5">
        <v>-0.99565771904703637</v>
      </c>
      <c r="AJ5">
        <v>86.30627516384547</v>
      </c>
      <c r="AK5">
        <v>84.15005273220487</v>
      </c>
      <c r="AL5">
        <v>85.868085461154521</v>
      </c>
      <c r="AM5">
        <v>357.51325330551998</v>
      </c>
      <c r="AN5">
        <v>354.99847909636594</v>
      </c>
      <c r="AO5">
        <v>357.36002200453009</v>
      </c>
      <c r="AP5">
        <v>11.098439501603975</v>
      </c>
      <c r="AQ5">
        <v>11.343374613877929</v>
      </c>
      <c r="AR5">
        <v>11.473555375817881</v>
      </c>
      <c r="AS5">
        <v>554.3882334120517</v>
      </c>
      <c r="AT5">
        <v>23.36257626936542</v>
      </c>
      <c r="AU5">
        <v>37.014176072809434</v>
      </c>
      <c r="AV5">
        <v>544.90301029983516</v>
      </c>
      <c r="AW5">
        <v>23.124907791368173</v>
      </c>
      <c r="AX5">
        <v>37.007560052034592</v>
      </c>
      <c r="AY5">
        <v>549.85245563098465</v>
      </c>
      <c r="AZ5">
        <v>23.325850702539011</v>
      </c>
      <c r="BA5">
        <v>36.919447288795055</v>
      </c>
      <c r="BB5">
        <v>8365.2480810072157</v>
      </c>
      <c r="BC5">
        <v>8327.9519953580748</v>
      </c>
      <c r="BD5">
        <v>8069.2947524472393</v>
      </c>
      <c r="BE5">
        <v>575.91256724890809</v>
      </c>
      <c r="BF5">
        <v>570.16200955217164</v>
      </c>
      <c r="BG5">
        <v>572.4823234950087</v>
      </c>
      <c r="BH5">
        <v>528.06973127843241</v>
      </c>
      <c r="BI5">
        <v>521.35570192365833</v>
      </c>
      <c r="BJ5">
        <v>523.36297384791044</v>
      </c>
      <c r="BK5">
        <v>275.53147452729962</v>
      </c>
      <c r="BL5">
        <v>274.47851127306626</v>
      </c>
      <c r="BM5">
        <v>273.90206069764878</v>
      </c>
      <c r="BN5">
        <v>175.3347697842068</v>
      </c>
      <c r="BO5">
        <v>169.79002028237235</v>
      </c>
      <c r="BP5">
        <v>174.12848354357408</v>
      </c>
      <c r="BQ5">
        <v>54.684163181417262</v>
      </c>
      <c r="BR5">
        <v>55.374994556409</v>
      </c>
      <c r="BS5">
        <v>57.485466575054602</v>
      </c>
      <c r="BT5">
        <v>526.68830774349635</v>
      </c>
      <c r="BU5">
        <v>80.566022576749603</v>
      </c>
      <c r="BV5">
        <v>274.4958294698165</v>
      </c>
      <c r="BW5">
        <v>91.224909476996544</v>
      </c>
      <c r="BX5">
        <v>44.642376135191384</v>
      </c>
      <c r="BY5">
        <v>79.001495487734473</v>
      </c>
      <c r="BZ5">
        <v>-91.570372048892992</v>
      </c>
      <c r="CA5">
        <v>173.63518874960587</v>
      </c>
      <c r="CB5">
        <v>169.90068780957111</v>
      </c>
      <c r="CC5">
        <v>168.73459692582017</v>
      </c>
      <c r="CE5">
        <v>173.30687612094448</v>
      </c>
      <c r="CF5">
        <v>172.03581593246889</v>
      </c>
      <c r="CG5">
        <v>52.052838412562494</v>
      </c>
      <c r="CH5">
        <v>52.516091540559103</v>
      </c>
      <c r="CI5">
        <v>54.551377428320748</v>
      </c>
      <c r="CJ5">
        <v>52.689484535661279</v>
      </c>
      <c r="CK5">
        <v>53.134165036272478</v>
      </c>
      <c r="CL5">
        <v>55.177201245808085</v>
      </c>
      <c r="CM5">
        <v>5.3397564012189713</v>
      </c>
      <c r="CN5">
        <v>4.9013275446634843</v>
      </c>
      <c r="CO5">
        <v>5.0935962766109562</v>
      </c>
      <c r="CP5">
        <v>5.4254030585304918</v>
      </c>
      <c r="CQ5">
        <v>4.9520624356313521</v>
      </c>
      <c r="CR5">
        <v>5.1525929549513929</v>
      </c>
      <c r="CS5">
        <v>109.78609995708888</v>
      </c>
      <c r="CT5">
        <v>109.46806158193165</v>
      </c>
      <c r="CU5">
        <v>110.21080596055772</v>
      </c>
      <c r="CV5">
        <v>108.41397045499379</v>
      </c>
      <c r="CW5">
        <v>108.28676218120154</v>
      </c>
      <c r="CX5">
        <v>108.60796501176196</v>
      </c>
      <c r="CY5">
        <v>10392.034093930399</v>
      </c>
      <c r="CZ5">
        <v>1277.048504214308</v>
      </c>
      <c r="DA5">
        <v>48.354242683840866</v>
      </c>
      <c r="DB5">
        <v>38.35984925554699</v>
      </c>
      <c r="DC5">
        <v>44.974276726148403</v>
      </c>
      <c r="DD5">
        <v>110.3093177688493</v>
      </c>
      <c r="DE5">
        <v>109.74143635735409</v>
      </c>
      <c r="DF5">
        <v>110.4139308656904</v>
      </c>
      <c r="DG5">
        <v>8725.9087422309003</v>
      </c>
      <c r="DH5">
        <v>8667.6234493079974</v>
      </c>
      <c r="DI5">
        <v>8582.8038821139871</v>
      </c>
      <c r="DJ5">
        <v>658.98353178531238</v>
      </c>
      <c r="DK5">
        <v>661.04803050059024</v>
      </c>
      <c r="DL5">
        <v>647.07153824651084</v>
      </c>
      <c r="DM5">
        <v>51.240893351704273</v>
      </c>
      <c r="DN5">
        <v>43.244780591506952</v>
      </c>
      <c r="DO5">
        <v>49.345418673476146</v>
      </c>
      <c r="DP5">
        <v>121.72325074153053</v>
      </c>
      <c r="DQ5">
        <v>125.99472211556544</v>
      </c>
      <c r="DR5">
        <v>129.76326409957892</v>
      </c>
      <c r="DS5">
        <v>170.76783917179952</v>
      </c>
      <c r="DT5">
        <v>32728.847733759223</v>
      </c>
      <c r="DU5">
        <v>28.547503046485058</v>
      </c>
      <c r="DV5">
        <v>39.125458112505811</v>
      </c>
      <c r="DW5">
        <v>38.66500798373751</v>
      </c>
      <c r="DX5">
        <v>40.232868882432506</v>
      </c>
      <c r="DY5">
        <v>2.9254658880603972</v>
      </c>
      <c r="DZ5">
        <v>3.4429427663136178</v>
      </c>
      <c r="EA5">
        <v>4.962620308665568</v>
      </c>
      <c r="EB5">
        <v>2.5176168811888155</v>
      </c>
      <c r="EC5">
        <v>52.26657010850694</v>
      </c>
      <c r="ED5">
        <v>71.142323819444456</v>
      </c>
      <c r="EE5">
        <v>71.684420737847248</v>
      </c>
      <c r="EF5">
        <v>43.03020029622396</v>
      </c>
      <c r="EG5">
        <v>59.373112272135444</v>
      </c>
      <c r="EH5">
        <v>59.376832371961797</v>
      </c>
      <c r="EI5">
        <v>23.416237389985717</v>
      </c>
      <c r="EJ5">
        <v>23.403224007775517</v>
      </c>
      <c r="EK5">
        <v>23.451402728608976</v>
      </c>
      <c r="EL5" s="123" t="s">
        <v>198</v>
      </c>
      <c r="EM5" s="123"/>
      <c r="EN5" s="123"/>
      <c r="EO5" s="123"/>
      <c r="EP5" s="2" t="e">
        <f>Base_Data_2026[[#This Row],[GT1A_Gen_MW]]/(#REF!*#REF!*VLOOKUP(Base_Data_2026[[#This Row],[Date Only]],'Fuel. Gas specifications'!$A$9:$Y$48,23,FALSE))</f>
        <v>#REF!</v>
      </c>
      <c r="EQ5" s="123" t="str">
        <f>IF(AND(Base_Data_2026[[#This Row],[GT1A_IGV_Position]]&gt;$KM$1,Base_Data_2026[[#This Row],[GT1B_IGV_Position]]&gt;$KM$1,Base_Data_2026[[#This Row],[GT1C_IGV_Position]]&gt;$KM$1),"Full Load","Part Load")</f>
        <v>Full Load</v>
      </c>
      <c r="ER5" s="124" t="str">
        <f>_xlfn.TEXTJOIN(" | ",FALSE,TEXT(Base_Data_2026[[#This Row],[GT1A_GCV_Position]],"#,##0.0"),TEXT(Base_Data_2026[[#This Row],[GT1B_GCV_Position]],"#,##0.0"),TEXT(Base_Data_2026[[#This Row],[GT1C_GCV_Position]],"#,##0.0"))</f>
        <v>52.3 | 71.1 | 71.7</v>
      </c>
      <c r="ES5" s="124" t="str">
        <f>_xlfn.TEXTJOIN(" | ",FALSE,TEXT(Base_Data_2026[[#This Row],[GT1A_Fuel_Flow]],"#,##0.0"),TEXT(Base_Data_2026[[#This Row],[GT1B_Fuel_Flow]],"#,##0.0"),TEXT(Base_Data_2026[[#This Row],[GT1C_Fuel_Flow]],"#,##0.0"))</f>
        <v>23.4 | 23.1 | 23.3</v>
      </c>
      <c r="ET5" s="124" t="str">
        <f>_xlfn.TEXTJOIN(" | ",FALSE,TEXT(Base_Data_2026[[#This Row],[GT1A_Comp_Disch_Press]],"#,##0.0"),TEXT(Base_Data_2026[[#This Row],[GT1B_Comp_Disch_Press]],"#,##0.0"),TEXT(Base_Data_2026[[#This Row],[GT1C_Comp_Disch_Press]],"#,##0.0"))</f>
        <v>11.1 | 11.3 | 11.5</v>
      </c>
      <c r="EU5" s="124" t="str">
        <f>_xlfn.TEXTJOIN(" | ",FALSE,TEXT(Base_Data_2026[[#This Row],[GT1A_Turb_Exh_Temp]],"#,##0.0"),TEXT(Base_Data_2026[[#This Row],[GT1B_Turb_Exh_Temp]],"#,##0.0"),TEXT(Base_Data_2026[[#This Row],[GT1C_Turb_Exh_Temp]],"#,##0.0"))</f>
        <v>554.4 | 544.9 | 549.9</v>
      </c>
      <c r="EV5" s="124" t="str">
        <f>_xlfn.TEXTJOIN(" | ",FALSE,TEXT(Base_Data_2026[[#This Row],[GT1A_Gen_MW]],"#,##0.0"),TEXT(Base_Data_2026[[#This Row],[GT1B_Gen_MW]],"#,##0.0"),TEXT(Base_Data_2026[[#This Row],[GT1C_Gen_MW]],"#,##0.0"))</f>
        <v>118.9 | 121.5 | 127.0</v>
      </c>
      <c r="KL5"/>
      <c r="KN5"/>
      <c r="KO5"/>
      <c r="KP5"/>
      <c r="KQ5"/>
    </row>
    <row r="6" spans="2:303" x14ac:dyDescent="0.25">
      <c r="C6" s="34">
        <v>46104</v>
      </c>
      <c r="D6">
        <v>4</v>
      </c>
      <c r="E6" s="35">
        <v>46104.166666666664</v>
      </c>
      <c r="F6">
        <v>19.376924617103999</v>
      </c>
      <c r="G6">
        <v>87.171115826780607</v>
      </c>
      <c r="H6">
        <v>1005.4872440404083</v>
      </c>
      <c r="I6">
        <v>59</v>
      </c>
      <c r="J6">
        <v>19.003691567681102</v>
      </c>
      <c r="K6">
        <v>18.046924333983529</v>
      </c>
      <c r="L6">
        <v>18.30408954752922</v>
      </c>
      <c r="M6">
        <v>18.608347420516544</v>
      </c>
      <c r="N6">
        <v>3000.3547573611118</v>
      </c>
      <c r="O6">
        <v>3000.3237475000001</v>
      </c>
      <c r="P6">
        <v>3000.3769519444459</v>
      </c>
      <c r="Q6">
        <v>3000.304430486111</v>
      </c>
      <c r="R6">
        <v>3078</v>
      </c>
      <c r="S6">
        <v>6483.7574249999998</v>
      </c>
      <c r="T6">
        <v>3</v>
      </c>
      <c r="U6">
        <v>536.46898195621088</v>
      </c>
      <c r="V6">
        <v>119.13252491319442</v>
      </c>
      <c r="W6">
        <v>121.67575049913198</v>
      </c>
      <c r="X6">
        <v>127.14836923611108</v>
      </c>
      <c r="Y6">
        <v>182.73665543836799</v>
      </c>
      <c r="Z6">
        <v>817.70123694444453</v>
      </c>
      <c r="AA6">
        <v>868.68264152777795</v>
      </c>
      <c r="AB6">
        <v>906.51807694444449</v>
      </c>
      <c r="AC6">
        <v>234.14230341145822</v>
      </c>
      <c r="AD6">
        <v>239.16005513888894</v>
      </c>
      <c r="AE6">
        <v>261.29593055555551</v>
      </c>
      <c r="AF6">
        <v>-0.99911237553914412</v>
      </c>
      <c r="AG6">
        <v>-0.99974010474310981</v>
      </c>
      <c r="AH6">
        <v>0.99982121412489133</v>
      </c>
      <c r="AI6">
        <v>-0.994852082236244</v>
      </c>
      <c r="AJ6">
        <v>86.3091485807292</v>
      </c>
      <c r="AK6">
        <v>84.148475274522568</v>
      </c>
      <c r="AL6">
        <v>85.853916231553811</v>
      </c>
      <c r="AM6">
        <v>358.10816799163814</v>
      </c>
      <c r="AN6">
        <v>355.61163663472502</v>
      </c>
      <c r="AO6">
        <v>358.01829716122097</v>
      </c>
      <c r="AP6">
        <v>11.128115479453673</v>
      </c>
      <c r="AQ6">
        <v>11.365242063146697</v>
      </c>
      <c r="AR6">
        <v>11.495099132310813</v>
      </c>
      <c r="AS6">
        <v>554.03362579745817</v>
      </c>
      <c r="AT6">
        <v>23.199928923862771</v>
      </c>
      <c r="AU6">
        <v>37.143589567860495</v>
      </c>
      <c r="AV6">
        <v>544.61868492260385</v>
      </c>
      <c r="AW6">
        <v>22.949123846016985</v>
      </c>
      <c r="AX6">
        <v>37.151437250448865</v>
      </c>
      <c r="AY6">
        <v>549.54252028528856</v>
      </c>
      <c r="AZ6">
        <v>23.142124516484472</v>
      </c>
      <c r="BA6">
        <v>37.152763048919049</v>
      </c>
      <c r="BB6">
        <v>8367.8092284252889</v>
      </c>
      <c r="BC6">
        <v>8330.760007738445</v>
      </c>
      <c r="BD6">
        <v>8072.4309814984817</v>
      </c>
      <c r="BE6">
        <v>575.99309744786592</v>
      </c>
      <c r="BF6">
        <v>570.22964349726385</v>
      </c>
      <c r="BG6">
        <v>572.52117120374908</v>
      </c>
      <c r="BH6">
        <v>527.69719614293422</v>
      </c>
      <c r="BI6">
        <v>521.00019250120374</v>
      </c>
      <c r="BJ6">
        <v>523.08914337890621</v>
      </c>
      <c r="BK6">
        <v>275.5666104504225</v>
      </c>
      <c r="BL6">
        <v>274.49874275678843</v>
      </c>
      <c r="BM6">
        <v>273.90286623767429</v>
      </c>
      <c r="BN6">
        <v>175.49639501167712</v>
      </c>
      <c r="BO6">
        <v>169.83163946379349</v>
      </c>
      <c r="BP6">
        <v>174.19933966631578</v>
      </c>
      <c r="BQ6">
        <v>54.824870839890352</v>
      </c>
      <c r="BR6">
        <v>55.495927585931376</v>
      </c>
      <c r="BS6">
        <v>57.581196937183798</v>
      </c>
      <c r="BT6">
        <v>526.36760671969944</v>
      </c>
      <c r="BU6">
        <v>80.59329580429501</v>
      </c>
      <c r="BV6">
        <v>274.50280242966551</v>
      </c>
      <c r="BW6">
        <v>91.226712252604159</v>
      </c>
      <c r="BX6">
        <v>44.697784168506203</v>
      </c>
      <c r="BY6">
        <v>79.311506044760804</v>
      </c>
      <c r="BZ6">
        <v>-91.502591755847959</v>
      </c>
      <c r="CA6">
        <v>173.68438398834232</v>
      </c>
      <c r="CB6">
        <v>170.19516516731264</v>
      </c>
      <c r="CC6">
        <v>168.99875642298804</v>
      </c>
      <c r="CD6">
        <v>177.18331330214599</v>
      </c>
      <c r="CE6">
        <v>173.6538534239069</v>
      </c>
      <c r="CF6">
        <v>172.35275510758294</v>
      </c>
      <c r="CG6">
        <v>52.244389200590966</v>
      </c>
      <c r="CH6">
        <v>52.50299756572722</v>
      </c>
      <c r="CI6">
        <v>54.650821499490725</v>
      </c>
      <c r="CJ6">
        <v>52.872994474759629</v>
      </c>
      <c r="CK6">
        <v>53.292052913156084</v>
      </c>
      <c r="CL6">
        <v>55.475488421441185</v>
      </c>
      <c r="CM6">
        <v>5.3781353307229924</v>
      </c>
      <c r="CN6">
        <v>4.9665888949553176</v>
      </c>
      <c r="CO6">
        <v>5.1843442170066298</v>
      </c>
      <c r="CP6">
        <v>5.4722009775786251</v>
      </c>
      <c r="CQ6">
        <v>5.0168949808401537</v>
      </c>
      <c r="CR6">
        <v>5.2356001007906592</v>
      </c>
      <c r="CT6">
        <v>109.44589273196962</v>
      </c>
      <c r="CU6">
        <v>110.21294667677564</v>
      </c>
      <c r="CV6">
        <v>108.40285282103854</v>
      </c>
      <c r="CW6">
        <v>108.2791121934594</v>
      </c>
      <c r="CX6">
        <v>108.59237545772127</v>
      </c>
      <c r="CY6">
        <v>10433.560068670515</v>
      </c>
      <c r="CZ6">
        <v>1281.257147364197</v>
      </c>
      <c r="DA6">
        <v>48.439268057719332</v>
      </c>
      <c r="DB6">
        <v>38.386672314980814</v>
      </c>
      <c r="DC6">
        <v>44.979483780980637</v>
      </c>
      <c r="DD6">
        <v>110.31960100981392</v>
      </c>
      <c r="DE6">
        <v>109.76380002470228</v>
      </c>
      <c r="DF6">
        <v>110.42342215040637</v>
      </c>
      <c r="DG6">
        <v>8729.7096705406348</v>
      </c>
      <c r="DH6">
        <v>8670.9542398041431</v>
      </c>
      <c r="DI6">
        <v>8586.5027908837874</v>
      </c>
      <c r="DJ6">
        <v>659.45343274025799</v>
      </c>
      <c r="DK6">
        <v>661.36834866826348</v>
      </c>
      <c r="DL6">
        <v>647.43424348712472</v>
      </c>
      <c r="DM6">
        <v>51.372218280901365</v>
      </c>
      <c r="DN6">
        <v>43.226142488830341</v>
      </c>
      <c r="DO6">
        <v>49.372283426777521</v>
      </c>
      <c r="DP6">
        <v>121.79017889632753</v>
      </c>
      <c r="DQ6">
        <v>126.02609817069374</v>
      </c>
      <c r="DR6">
        <v>129.81029652202605</v>
      </c>
      <c r="DS6">
        <v>170.78521850286694</v>
      </c>
      <c r="DT6">
        <v>33069.132145285381</v>
      </c>
      <c r="DU6">
        <v>28.670646748449009</v>
      </c>
      <c r="DV6">
        <v>39.218643394693814</v>
      </c>
      <c r="DW6">
        <v>38.744999280487697</v>
      </c>
      <c r="DX6">
        <v>40.200760762139417</v>
      </c>
      <c r="DY6">
        <v>2.9139858645637831</v>
      </c>
      <c r="DZ6">
        <v>3.4800856839512457</v>
      </c>
      <c r="EA6">
        <v>5.0220460562238394</v>
      </c>
      <c r="EB6">
        <v>2.3720136958769964</v>
      </c>
      <c r="EC6">
        <v>51.827998442925342</v>
      </c>
      <c r="ED6">
        <v>70.437333351779486</v>
      </c>
      <c r="EE6">
        <v>71.06362042751735</v>
      </c>
      <c r="EF6">
        <v>42.667835589192727</v>
      </c>
      <c r="EG6">
        <v>58.778007336154509</v>
      </c>
      <c r="EH6">
        <v>58.850554301215269</v>
      </c>
      <c r="EI6">
        <v>23.468154276258151</v>
      </c>
      <c r="EJ6">
        <v>23.437179636760284</v>
      </c>
      <c r="EK6">
        <v>23.478381820243193</v>
      </c>
      <c r="EL6" s="123" t="s">
        <v>198</v>
      </c>
      <c r="EM6" s="123"/>
      <c r="EN6" s="123"/>
      <c r="EO6" s="123"/>
      <c r="EP6" s="2" t="e">
        <f>Base_Data_2026[[#This Row],[GT1A_Gen_MW]]/(#REF!*#REF!*VLOOKUP(Base_Data_2026[[#This Row],[Date Only]],'Fuel. Gas specifications'!$A$9:$Y$48,23,FALSE))</f>
        <v>#REF!</v>
      </c>
      <c r="EQ6" s="123" t="str">
        <f>IF(AND(Base_Data_2026[[#This Row],[GT1A_IGV_Position]]&gt;$KM$1,Base_Data_2026[[#This Row],[GT1B_IGV_Position]]&gt;$KM$1,Base_Data_2026[[#This Row],[GT1C_IGV_Position]]&gt;$KM$1),"Full Load","Part Load")</f>
        <v>Full Load</v>
      </c>
      <c r="ER6" s="124" t="str">
        <f>_xlfn.TEXTJOIN(" | ",FALSE,TEXT(Base_Data_2026[[#This Row],[GT1A_GCV_Position]],"#,##0.0"),TEXT(Base_Data_2026[[#This Row],[GT1B_GCV_Position]],"#,##0.0"),TEXT(Base_Data_2026[[#This Row],[GT1C_GCV_Position]],"#,##0.0"))</f>
        <v>51.8 | 70.4 | 71.1</v>
      </c>
      <c r="ES6" s="124" t="str">
        <f>_xlfn.TEXTJOIN(" | ",FALSE,TEXT(Base_Data_2026[[#This Row],[GT1A_Fuel_Flow]],"#,##0.0"),TEXT(Base_Data_2026[[#This Row],[GT1B_Fuel_Flow]],"#,##0.0"),TEXT(Base_Data_2026[[#This Row],[GT1C_Fuel_Flow]],"#,##0.0"))</f>
        <v>23.2 | 22.9 | 23.1</v>
      </c>
      <c r="ET6" s="124" t="str">
        <f>_xlfn.TEXTJOIN(" | ",FALSE,TEXT(Base_Data_2026[[#This Row],[GT1A_Comp_Disch_Press]],"#,##0.0"),TEXT(Base_Data_2026[[#This Row],[GT1B_Comp_Disch_Press]],"#,##0.0"),TEXT(Base_Data_2026[[#This Row],[GT1C_Comp_Disch_Press]],"#,##0.0"))</f>
        <v>11.1 | 11.4 | 11.5</v>
      </c>
      <c r="EU6" s="124" t="str">
        <f>_xlfn.TEXTJOIN(" | ",FALSE,TEXT(Base_Data_2026[[#This Row],[GT1A_Turb_Exh_Temp]],"#,##0.0"),TEXT(Base_Data_2026[[#This Row],[GT1B_Turb_Exh_Temp]],"#,##0.0"),TEXT(Base_Data_2026[[#This Row],[GT1C_Turb_Exh_Temp]],"#,##0.0"))</f>
        <v>554.0 | 544.6 | 549.5</v>
      </c>
      <c r="EV6" s="124" t="str">
        <f>_xlfn.TEXTJOIN(" | ",FALSE,TEXT(Base_Data_2026[[#This Row],[GT1A_Gen_MW]],"#,##0.0"),TEXT(Base_Data_2026[[#This Row],[GT1B_Gen_MW]],"#,##0.0"),TEXT(Base_Data_2026[[#This Row],[GT1C_Gen_MW]],"#,##0.0"))</f>
        <v>119.1 | 121.7 | 127.1</v>
      </c>
      <c r="KL6"/>
      <c r="KN6"/>
      <c r="KO6"/>
      <c r="KP6"/>
      <c r="KQ6"/>
    </row>
    <row r="7" spans="2:303" x14ac:dyDescent="0.25">
      <c r="C7" s="34">
        <v>46104</v>
      </c>
      <c r="D7">
        <v>5</v>
      </c>
      <c r="E7" s="35">
        <v>46104.208333333336</v>
      </c>
      <c r="F7">
        <v>19.607556327967117</v>
      </c>
      <c r="G7">
        <v>86.754640903805608</v>
      </c>
      <c r="H7">
        <v>1005.3801285865278</v>
      </c>
      <c r="I7">
        <v>59</v>
      </c>
      <c r="J7">
        <v>19.184712286837897</v>
      </c>
      <c r="K7">
        <v>18.159418735976747</v>
      </c>
      <c r="L7">
        <v>18.458721557765539</v>
      </c>
      <c r="M7">
        <v>18.748982362536324</v>
      </c>
      <c r="N7">
        <v>3006.7002306249997</v>
      </c>
      <c r="O7">
        <v>3006.6876161111104</v>
      </c>
      <c r="P7">
        <v>3006.6953127083325</v>
      </c>
      <c r="Q7">
        <v>3006.6802800694454</v>
      </c>
      <c r="R7">
        <v>3078</v>
      </c>
      <c r="S7">
        <v>6467.318575555556</v>
      </c>
      <c r="T7">
        <v>3</v>
      </c>
      <c r="U7">
        <v>536.87450003346783</v>
      </c>
      <c r="V7">
        <v>119.46643241753473</v>
      </c>
      <c r="W7">
        <v>121.78524102864583</v>
      </c>
      <c r="X7">
        <v>127.50278430989586</v>
      </c>
      <c r="Y7">
        <v>182.64520819878479</v>
      </c>
      <c r="Z7">
        <v>812.706452638889</v>
      </c>
      <c r="AA7">
        <v>863.98530777777796</v>
      </c>
      <c r="AB7">
        <v>894.33399541666665</v>
      </c>
      <c r="AC7">
        <v>232.58737052951395</v>
      </c>
      <c r="AD7">
        <v>237.79896391493057</v>
      </c>
      <c r="AE7">
        <v>257.31148978298603</v>
      </c>
      <c r="AF7">
        <v>-0.99852555789523645</v>
      </c>
      <c r="AG7">
        <v>-0.99941193372938375</v>
      </c>
      <c r="AH7">
        <v>3.0730384691026447E-2</v>
      </c>
      <c r="AI7">
        <v>-0.99367183251993474</v>
      </c>
      <c r="AJ7">
        <v>86.305482077907996</v>
      </c>
      <c r="AK7">
        <v>84.140729166666674</v>
      </c>
      <c r="AL7">
        <v>85.829252311197905</v>
      </c>
      <c r="AM7">
        <v>358.97188792458434</v>
      </c>
      <c r="AN7">
        <v>356.53836461197744</v>
      </c>
      <c r="AO7">
        <v>358.86660175453193</v>
      </c>
      <c r="AP7">
        <v>11.168665037761796</v>
      </c>
      <c r="AQ7">
        <v>11.400291739328706</v>
      </c>
      <c r="AR7">
        <v>11.530565246139631</v>
      </c>
      <c r="AS7">
        <v>553.5123754916043</v>
      </c>
      <c r="AT7">
        <v>23.438552044835628</v>
      </c>
      <c r="AU7">
        <v>37.032855794347107</v>
      </c>
      <c r="AV7">
        <v>544.0794418705749</v>
      </c>
      <c r="AW7">
        <v>23.188587943618025</v>
      </c>
      <c r="AX7">
        <v>37.01064740470251</v>
      </c>
      <c r="AY7">
        <v>549.0734825204637</v>
      </c>
      <c r="AZ7">
        <v>23.376872988357011</v>
      </c>
      <c r="BA7">
        <v>36.989512145910268</v>
      </c>
      <c r="BB7">
        <v>8375.8475782356782</v>
      </c>
      <c r="BC7">
        <v>8338.8083955672209</v>
      </c>
      <c r="BD7">
        <v>8079.7396029764805</v>
      </c>
      <c r="BE7">
        <v>576.18191649900666</v>
      </c>
      <c r="BF7">
        <v>570.36893446150043</v>
      </c>
      <c r="BG7">
        <v>572.54763067276019</v>
      </c>
      <c r="BH7">
        <v>527.41767438691909</v>
      </c>
      <c r="BI7">
        <v>520.730266910095</v>
      </c>
      <c r="BJ7">
        <v>522.83881850960665</v>
      </c>
      <c r="BK7">
        <v>275.64265409232246</v>
      </c>
      <c r="BL7">
        <v>274.55995483604437</v>
      </c>
      <c r="BM7">
        <v>273.9627070845965</v>
      </c>
      <c r="BN7">
        <v>175.66925029379956</v>
      </c>
      <c r="BO7">
        <v>169.94587223955375</v>
      </c>
      <c r="BP7">
        <v>174.37947250845158</v>
      </c>
      <c r="BQ7">
        <v>55.038321052302273</v>
      </c>
      <c r="BR7">
        <v>55.695479332165185</v>
      </c>
      <c r="BS7">
        <v>57.753675746028705</v>
      </c>
      <c r="BT7">
        <v>526.17949841220434</v>
      </c>
      <c r="BU7">
        <v>80.67174511851843</v>
      </c>
      <c r="BV7">
        <v>274.47239273098415</v>
      </c>
      <c r="BW7">
        <v>91.276669825303827</v>
      </c>
      <c r="BX7">
        <v>44.815336048774725</v>
      </c>
      <c r="BY7">
        <v>79.613951014453065</v>
      </c>
      <c r="BZ7">
        <v>-91.441195652387449</v>
      </c>
      <c r="CA7">
        <v>173.92466559154946</v>
      </c>
      <c r="CB7">
        <v>169.74723904274842</v>
      </c>
      <c r="CC7">
        <v>168.95154340578293</v>
      </c>
      <c r="CD7">
        <v>177.42757940973488</v>
      </c>
      <c r="CE7">
        <v>173.09865588033466</v>
      </c>
      <c r="CF7">
        <v>172.26312665316257</v>
      </c>
      <c r="CG7">
        <v>52.365837701331252</v>
      </c>
      <c r="CH7">
        <v>52.612822245503509</v>
      </c>
      <c r="CI7">
        <v>54.640501246815774</v>
      </c>
      <c r="CJ7">
        <v>53.00947734184053</v>
      </c>
      <c r="CK7">
        <v>53.320447597732546</v>
      </c>
      <c r="CL7">
        <v>55.330621618850508</v>
      </c>
      <c r="CM7">
        <v>5.3927123914937178</v>
      </c>
      <c r="CN7">
        <v>4.8924194577790612</v>
      </c>
      <c r="CO7">
        <v>5.0319477270183324</v>
      </c>
      <c r="CP7">
        <v>5.42735918914358</v>
      </c>
      <c r="CQ7">
        <v>4.9334654823532373</v>
      </c>
      <c r="CR7">
        <v>5.1090022516842017</v>
      </c>
      <c r="CS7">
        <v>109.77918541300247</v>
      </c>
      <c r="CT7">
        <v>109.46945027942236</v>
      </c>
      <c r="CU7">
        <v>110.2075316080348</v>
      </c>
      <c r="CV7">
        <v>108.40495095604581</v>
      </c>
      <c r="CW7">
        <v>108.29525235211474</v>
      </c>
      <c r="CX7">
        <v>108.59362445781497</v>
      </c>
      <c r="CY7">
        <v>10492.270397667909</v>
      </c>
      <c r="CZ7">
        <v>1289.9951330350746</v>
      </c>
      <c r="DA7">
        <v>48.461563326614147</v>
      </c>
      <c r="DB7">
        <v>38.398063454910911</v>
      </c>
      <c r="DC7">
        <v>45.00256782869976</v>
      </c>
      <c r="DD7">
        <v>110.33574597861184</v>
      </c>
      <c r="DE7">
        <v>109.77254277129281</v>
      </c>
      <c r="DF7">
        <v>110.42475345727497</v>
      </c>
      <c r="DG7">
        <v>8738.3227966191953</v>
      </c>
      <c r="DH7">
        <v>8678.6931981418184</v>
      </c>
      <c r="DI7">
        <v>8594.4656051269558</v>
      </c>
      <c r="DJ7">
        <v>660.15282199918943</v>
      </c>
      <c r="DK7">
        <v>662.00520806871214</v>
      </c>
      <c r="DL7">
        <v>647.95011712407438</v>
      </c>
      <c r="DM7">
        <v>51.438103333799532</v>
      </c>
      <c r="DN7">
        <v>43.254400483369821</v>
      </c>
      <c r="DO7">
        <v>49.514644547406277</v>
      </c>
      <c r="DP7">
        <v>121.81312048318864</v>
      </c>
      <c r="DQ7">
        <v>126.0057511619695</v>
      </c>
      <c r="DR7">
        <v>129.82695086627109</v>
      </c>
      <c r="DS7">
        <v>171.04641918554097</v>
      </c>
      <c r="DT7">
        <v>33133.783203184132</v>
      </c>
      <c r="DU7">
        <v>28.798290274573954</v>
      </c>
      <c r="DV7">
        <v>39.319437363344832</v>
      </c>
      <c r="DW7">
        <v>38.854980553132158</v>
      </c>
      <c r="DX7">
        <v>40.295951979186782</v>
      </c>
      <c r="DY7">
        <v>2.9604656281612987</v>
      </c>
      <c r="DZ7">
        <v>3.4966885248037851</v>
      </c>
      <c r="EA7">
        <v>5.0371441896627989</v>
      </c>
      <c r="EB7">
        <v>2.4728608923310049</v>
      </c>
      <c r="EC7">
        <v>52.263754610460083</v>
      </c>
      <c r="ED7">
        <v>71.040801090494782</v>
      </c>
      <c r="EE7">
        <v>71.605916810980915</v>
      </c>
      <c r="EF7">
        <v>43.020056412760404</v>
      </c>
      <c r="EG7">
        <v>59.26505990559896</v>
      </c>
      <c r="EH7">
        <v>59.318138389756939</v>
      </c>
      <c r="EI7">
        <v>23.51497888296657</v>
      </c>
      <c r="EJ7">
        <v>23.505340036661885</v>
      </c>
      <c r="EK7">
        <v>23.544010822898009</v>
      </c>
      <c r="EL7" s="123" t="s">
        <v>198</v>
      </c>
      <c r="EM7" s="123"/>
      <c r="EN7" s="123"/>
      <c r="EO7" s="123"/>
      <c r="EP7" s="2" t="e">
        <f>Base_Data_2026[[#This Row],[GT1A_Gen_MW]]/(#REF!*#REF!*VLOOKUP(Base_Data_2026[[#This Row],[Date Only]],'Fuel. Gas specifications'!$A$9:$Y$48,23,FALSE))</f>
        <v>#REF!</v>
      </c>
      <c r="EQ7" s="123" t="str">
        <f>IF(AND(Base_Data_2026[[#This Row],[GT1A_IGV_Position]]&gt;$KM$1,Base_Data_2026[[#This Row],[GT1B_IGV_Position]]&gt;$KM$1,Base_Data_2026[[#This Row],[GT1C_IGV_Position]]&gt;$KM$1),"Full Load","Part Load")</f>
        <v>Full Load</v>
      </c>
      <c r="ER7" s="124" t="str">
        <f>_xlfn.TEXTJOIN(" | ",FALSE,TEXT(Base_Data_2026[[#This Row],[GT1A_GCV_Position]],"#,##0.0"),TEXT(Base_Data_2026[[#This Row],[GT1B_GCV_Position]],"#,##0.0"),TEXT(Base_Data_2026[[#This Row],[GT1C_GCV_Position]],"#,##0.0"))</f>
        <v>52.3 | 71.0 | 71.6</v>
      </c>
      <c r="ES7" s="124" t="str">
        <f>_xlfn.TEXTJOIN(" | ",FALSE,TEXT(Base_Data_2026[[#This Row],[GT1A_Fuel_Flow]],"#,##0.0"),TEXT(Base_Data_2026[[#This Row],[GT1B_Fuel_Flow]],"#,##0.0"),TEXT(Base_Data_2026[[#This Row],[GT1C_Fuel_Flow]],"#,##0.0"))</f>
        <v>23.4 | 23.2 | 23.4</v>
      </c>
      <c r="ET7" s="124" t="str">
        <f>_xlfn.TEXTJOIN(" | ",FALSE,TEXT(Base_Data_2026[[#This Row],[GT1A_Comp_Disch_Press]],"#,##0.0"),TEXT(Base_Data_2026[[#This Row],[GT1B_Comp_Disch_Press]],"#,##0.0"),TEXT(Base_Data_2026[[#This Row],[GT1C_Comp_Disch_Press]],"#,##0.0"))</f>
        <v>11.2 | 11.4 | 11.5</v>
      </c>
      <c r="EU7" s="124" t="str">
        <f>_xlfn.TEXTJOIN(" | ",FALSE,TEXT(Base_Data_2026[[#This Row],[GT1A_Turb_Exh_Temp]],"#,##0.0"),TEXT(Base_Data_2026[[#This Row],[GT1B_Turb_Exh_Temp]],"#,##0.0"),TEXT(Base_Data_2026[[#This Row],[GT1C_Turb_Exh_Temp]],"#,##0.0"))</f>
        <v>553.5 | 544.1 | 549.1</v>
      </c>
      <c r="EV7" s="124" t="str">
        <f>_xlfn.TEXTJOIN(" | ",FALSE,TEXT(Base_Data_2026[[#This Row],[GT1A_Gen_MW]],"#,##0.0"),TEXT(Base_Data_2026[[#This Row],[GT1B_Gen_MW]],"#,##0.0"),TEXT(Base_Data_2026[[#This Row],[GT1C_Gen_MW]],"#,##0.0"))</f>
        <v>119.5 | 121.8 | 127.5</v>
      </c>
      <c r="KL7"/>
      <c r="KN7"/>
      <c r="KO7"/>
      <c r="KP7"/>
      <c r="KQ7"/>
    </row>
    <row r="8" spans="2:303" x14ac:dyDescent="0.25">
      <c r="C8" s="34">
        <v>46104</v>
      </c>
      <c r="D8">
        <v>6</v>
      </c>
      <c r="E8" s="35">
        <v>46104.25</v>
      </c>
      <c r="F8">
        <v>19.332918951146869</v>
      </c>
      <c r="G8">
        <v>87.453668726092417</v>
      </c>
      <c r="H8">
        <v>1005.6215769351195</v>
      </c>
      <c r="I8">
        <v>59</v>
      </c>
      <c r="J8">
        <v>18.997900669914351</v>
      </c>
      <c r="K8">
        <v>18.128420149630976</v>
      </c>
      <c r="L8">
        <v>18.232163595433764</v>
      </c>
      <c r="M8">
        <v>18.593008236627576</v>
      </c>
      <c r="N8">
        <v>3005.0482392361114</v>
      </c>
      <c r="O8">
        <v>3005.1030233333317</v>
      </c>
      <c r="P8">
        <v>3005.0718818750006</v>
      </c>
      <c r="Q8">
        <v>3004.9758710416663</v>
      </c>
      <c r="R8">
        <v>3078</v>
      </c>
      <c r="S8">
        <v>6512.4830441666663</v>
      </c>
      <c r="T8">
        <v>3</v>
      </c>
      <c r="U8">
        <v>536.38634412768909</v>
      </c>
      <c r="V8">
        <v>119.48224178385416</v>
      </c>
      <c r="W8">
        <v>121.85548996093748</v>
      </c>
      <c r="X8">
        <v>127.5834751171875</v>
      </c>
      <c r="Y8">
        <v>182.53451685329864</v>
      </c>
      <c r="Z8">
        <v>815.59192555555558</v>
      </c>
      <c r="AA8">
        <v>867.54343958333368</v>
      </c>
      <c r="AB8">
        <v>890.16320972222252</v>
      </c>
      <c r="AC8">
        <v>233.5869752170139</v>
      </c>
      <c r="AD8">
        <v>238.91718440972227</v>
      </c>
      <c r="AE8">
        <v>255.8123413541667</v>
      </c>
      <c r="AF8">
        <v>-0.99882159974839979</v>
      </c>
      <c r="AG8">
        <v>-0.99962347835964638</v>
      </c>
      <c r="AH8">
        <v>-0.99967947675916835</v>
      </c>
      <c r="AI8">
        <v>-0.99427521433422961</v>
      </c>
      <c r="AJ8">
        <v>86.306510481770815</v>
      </c>
      <c r="AK8">
        <v>84.140989746093737</v>
      </c>
      <c r="AL8">
        <v>85.792758836805561</v>
      </c>
      <c r="AM8">
        <v>358.82013805924305</v>
      </c>
      <c r="AN8">
        <v>356.26248206526009</v>
      </c>
      <c r="AO8">
        <v>358.60364241032067</v>
      </c>
      <c r="AP8">
        <v>11.164571073016589</v>
      </c>
      <c r="AQ8">
        <v>11.405451897984877</v>
      </c>
      <c r="AR8">
        <v>11.531059220059182</v>
      </c>
      <c r="AS8">
        <v>553.50531358215312</v>
      </c>
      <c r="AT8">
        <v>23.530104092212781</v>
      </c>
      <c r="AU8">
        <v>36.931288216256036</v>
      </c>
      <c r="AV8">
        <v>543.88164720906582</v>
      </c>
      <c r="AW8">
        <v>23.289851380453111</v>
      </c>
      <c r="AX8">
        <v>36.963482890898383</v>
      </c>
      <c r="AY8">
        <v>548.98356993952439</v>
      </c>
      <c r="AZ8">
        <v>23.48404288981968</v>
      </c>
      <c r="BA8">
        <v>36.869190761480326</v>
      </c>
      <c r="BB8">
        <v>8381.5108510565879</v>
      </c>
      <c r="BC8">
        <v>8344.0789570260949</v>
      </c>
      <c r="BD8">
        <v>8085.5983426213934</v>
      </c>
      <c r="BE8">
        <v>575.97190892278024</v>
      </c>
      <c r="BF8">
        <v>570.06337761071109</v>
      </c>
      <c r="BG8">
        <v>572.30504254270761</v>
      </c>
      <c r="BH8">
        <v>527.29931838166954</v>
      </c>
      <c r="BI8">
        <v>520.46822296469804</v>
      </c>
      <c r="BJ8">
        <v>522.65276498492767</v>
      </c>
      <c r="BK8">
        <v>275.63629149419995</v>
      </c>
      <c r="BL8">
        <v>274.54456461338458</v>
      </c>
      <c r="BM8">
        <v>273.96574912403526</v>
      </c>
      <c r="BN8">
        <v>175.61463584240815</v>
      </c>
      <c r="BO8">
        <v>169.92150363266413</v>
      </c>
      <c r="BP8">
        <v>174.3517465556844</v>
      </c>
      <c r="BQ8">
        <v>55.080922998958151</v>
      </c>
      <c r="BR8">
        <v>55.763928557520984</v>
      </c>
      <c r="BS8">
        <v>57.768274131507887</v>
      </c>
      <c r="BT8">
        <v>525.89045124184497</v>
      </c>
      <c r="BU8">
        <v>80.734197746584115</v>
      </c>
      <c r="BV8">
        <v>274.54594193734067</v>
      </c>
      <c r="BW8">
        <v>91.252844683159722</v>
      </c>
      <c r="BX8">
        <v>44.816300408660041</v>
      </c>
      <c r="BY8">
        <v>79.583587471565664</v>
      </c>
      <c r="BZ8">
        <v>-91.480547391418867</v>
      </c>
      <c r="CA8">
        <v>173.81838962065808</v>
      </c>
      <c r="CB8">
        <v>170.75594732040403</v>
      </c>
      <c r="CC8">
        <v>169.37542563213356</v>
      </c>
      <c r="CD8">
        <v>177.29884499748232</v>
      </c>
      <c r="CE8">
        <v>174.25471973321694</v>
      </c>
      <c r="CF8">
        <v>172.68534666706086</v>
      </c>
      <c r="CG8">
        <v>52.417028958606728</v>
      </c>
      <c r="CH8">
        <v>52.916838647356052</v>
      </c>
      <c r="CI8">
        <v>54.808738469658948</v>
      </c>
      <c r="CJ8">
        <v>52.893365090529144</v>
      </c>
      <c r="CK8">
        <v>53.688355529672826</v>
      </c>
      <c r="CL8">
        <v>55.601927454955849</v>
      </c>
      <c r="CM8">
        <v>5.4267600235634372</v>
      </c>
      <c r="CN8">
        <v>4.9742890950373795</v>
      </c>
      <c r="CO8">
        <v>5.1391549407330483</v>
      </c>
      <c r="CP8">
        <v>5.4783159116122464</v>
      </c>
      <c r="CQ8">
        <v>5.034092865577672</v>
      </c>
      <c r="CR8">
        <v>5.2288748038291279</v>
      </c>
      <c r="CS8">
        <v>109.76099463164438</v>
      </c>
      <c r="CT8">
        <v>109.42421657187359</v>
      </c>
      <c r="CU8">
        <v>110.22202612097213</v>
      </c>
      <c r="CV8">
        <v>108.39697884745068</v>
      </c>
      <c r="CW8">
        <v>108.27051602985595</v>
      </c>
      <c r="CX8">
        <v>108.58958107806099</v>
      </c>
      <c r="CY8">
        <v>10462.034324661186</v>
      </c>
      <c r="CZ8">
        <v>1283.1156089478559</v>
      </c>
      <c r="DA8">
        <v>48.476854584314566</v>
      </c>
      <c r="DB8">
        <v>38.389662261277294</v>
      </c>
      <c r="DC8">
        <v>45.050208869882162</v>
      </c>
      <c r="DD8">
        <v>110.33033182628209</v>
      </c>
      <c r="DE8">
        <v>109.76510691226746</v>
      </c>
      <c r="DF8">
        <v>110.43340669037501</v>
      </c>
      <c r="DG8">
        <v>8743.4461642483184</v>
      </c>
      <c r="DH8">
        <v>8684.420296757271</v>
      </c>
      <c r="DI8">
        <v>8599.826706562495</v>
      </c>
      <c r="DJ8">
        <v>659.96313023018752</v>
      </c>
      <c r="DK8">
        <v>662.02911277448879</v>
      </c>
      <c r="DL8">
        <v>647.80012685395968</v>
      </c>
      <c r="DM8">
        <v>51.382455054854283</v>
      </c>
      <c r="DN8">
        <v>43.300833660190349</v>
      </c>
      <c r="DO8">
        <v>49.549083723972089</v>
      </c>
      <c r="DP8">
        <v>121.88771657123354</v>
      </c>
      <c r="DQ8">
        <v>126.10533276046328</v>
      </c>
      <c r="DR8">
        <v>129.89994130526227</v>
      </c>
      <c r="DS8">
        <v>170.96268755744092</v>
      </c>
      <c r="DT8">
        <v>33025.409157659502</v>
      </c>
      <c r="DU8">
        <v>28.771194253480711</v>
      </c>
      <c r="DV8">
        <v>39.309094823607325</v>
      </c>
      <c r="DW8">
        <v>38.830279921014565</v>
      </c>
      <c r="DX8">
        <v>40.413320915258197</v>
      </c>
      <c r="DY8">
        <v>2.9679061884482048</v>
      </c>
      <c r="DZ8">
        <v>3.4972034253191953</v>
      </c>
      <c r="EA8">
        <v>5.0206395483511024</v>
      </c>
      <c r="EB8">
        <v>2.451573706018793</v>
      </c>
      <c r="EC8">
        <v>52.459568067491332</v>
      </c>
      <c r="ED8">
        <v>71.434917567274312</v>
      </c>
      <c r="EE8">
        <v>71.915598613281247</v>
      </c>
      <c r="EF8">
        <v>43.184840818142369</v>
      </c>
      <c r="EG8">
        <v>59.592377753906241</v>
      </c>
      <c r="EH8">
        <v>59.584704487847219</v>
      </c>
      <c r="EI8">
        <v>23.503895881195074</v>
      </c>
      <c r="EJ8">
        <v>23.500716518802637</v>
      </c>
      <c r="EK8">
        <v>23.500913993997042</v>
      </c>
      <c r="EL8" s="123" t="s">
        <v>198</v>
      </c>
      <c r="EM8" s="123"/>
      <c r="EN8" s="123"/>
      <c r="EO8" s="123"/>
      <c r="EP8" s="2" t="e">
        <f>Base_Data_2026[[#This Row],[GT1A_Gen_MW]]/(#REF!*#REF!*VLOOKUP(Base_Data_2026[[#This Row],[Date Only]],'Fuel. Gas specifications'!$A$9:$Y$48,23,FALSE))</f>
        <v>#REF!</v>
      </c>
      <c r="EQ8" s="123" t="str">
        <f>IF(AND(Base_Data_2026[[#This Row],[GT1A_IGV_Position]]&gt;$KM$1,Base_Data_2026[[#This Row],[GT1B_IGV_Position]]&gt;$KM$1,Base_Data_2026[[#This Row],[GT1C_IGV_Position]]&gt;$KM$1),"Full Load","Part Load")</f>
        <v>Full Load</v>
      </c>
      <c r="ER8" s="124" t="str">
        <f>_xlfn.TEXTJOIN(" | ",FALSE,TEXT(Base_Data_2026[[#This Row],[GT1A_GCV_Position]],"#,##0.0"),TEXT(Base_Data_2026[[#This Row],[GT1B_GCV_Position]],"#,##0.0"),TEXT(Base_Data_2026[[#This Row],[GT1C_GCV_Position]],"#,##0.0"))</f>
        <v>52.5 | 71.4 | 71.9</v>
      </c>
      <c r="ES8" s="124" t="str">
        <f>_xlfn.TEXTJOIN(" | ",FALSE,TEXT(Base_Data_2026[[#This Row],[GT1A_Fuel_Flow]],"#,##0.0"),TEXT(Base_Data_2026[[#This Row],[GT1B_Fuel_Flow]],"#,##0.0"),TEXT(Base_Data_2026[[#This Row],[GT1C_Fuel_Flow]],"#,##0.0"))</f>
        <v>23.5 | 23.3 | 23.5</v>
      </c>
      <c r="ET8" s="124" t="str">
        <f>_xlfn.TEXTJOIN(" | ",FALSE,TEXT(Base_Data_2026[[#This Row],[GT1A_Comp_Disch_Press]],"#,##0.0"),TEXT(Base_Data_2026[[#This Row],[GT1B_Comp_Disch_Press]],"#,##0.0"),TEXT(Base_Data_2026[[#This Row],[GT1C_Comp_Disch_Press]],"#,##0.0"))</f>
        <v>11.2 | 11.4 | 11.5</v>
      </c>
      <c r="EU8" s="124" t="str">
        <f>_xlfn.TEXTJOIN(" | ",FALSE,TEXT(Base_Data_2026[[#This Row],[GT1A_Turb_Exh_Temp]],"#,##0.0"),TEXT(Base_Data_2026[[#This Row],[GT1B_Turb_Exh_Temp]],"#,##0.0"),TEXT(Base_Data_2026[[#This Row],[GT1C_Turb_Exh_Temp]],"#,##0.0"))</f>
        <v>553.5 | 543.9 | 549.0</v>
      </c>
      <c r="EV8" s="124" t="str">
        <f>_xlfn.TEXTJOIN(" | ",FALSE,TEXT(Base_Data_2026[[#This Row],[GT1A_Gen_MW]],"#,##0.0"),TEXT(Base_Data_2026[[#This Row],[GT1B_Gen_MW]],"#,##0.0"),TEXT(Base_Data_2026[[#This Row],[GT1C_Gen_MW]],"#,##0.0"))</f>
        <v>119.5 | 121.9 | 127.6</v>
      </c>
      <c r="KL8"/>
      <c r="KN8"/>
      <c r="KO8"/>
      <c r="KP8"/>
      <c r="KQ8"/>
    </row>
    <row r="9" spans="2:303" x14ac:dyDescent="0.25">
      <c r="C9" s="34">
        <v>46104</v>
      </c>
      <c r="D9">
        <v>20</v>
      </c>
      <c r="E9" s="35">
        <v>46104.833333333336</v>
      </c>
      <c r="F9">
        <v>29.453438518195675</v>
      </c>
      <c r="G9">
        <v>48.281451655850937</v>
      </c>
      <c r="H9">
        <v>1003.7700373066541</v>
      </c>
      <c r="I9">
        <v>59</v>
      </c>
      <c r="J9">
        <v>20.936066603438594</v>
      </c>
      <c r="K9">
        <v>21.320123652735813</v>
      </c>
      <c r="L9">
        <v>21.553838505566912</v>
      </c>
      <c r="M9">
        <v>21.552978778070873</v>
      </c>
      <c r="N9">
        <v>2995.8127793055555</v>
      </c>
      <c r="O9">
        <v>2995.9543579861115</v>
      </c>
      <c r="P9">
        <v>2995.9636479166661</v>
      </c>
      <c r="Q9">
        <v>2995.9333189583331</v>
      </c>
      <c r="R9">
        <v>3078</v>
      </c>
      <c r="S9">
        <v>6023.8090897222219</v>
      </c>
      <c r="T9">
        <v>3</v>
      </c>
      <c r="U9">
        <v>523.87630144105719</v>
      </c>
      <c r="V9">
        <v>118.64911659722223</v>
      </c>
      <c r="W9">
        <v>118.18354038628472</v>
      </c>
      <c r="X9">
        <v>123.42359285590274</v>
      </c>
      <c r="Y9">
        <v>180.58466009548613</v>
      </c>
      <c r="Z9">
        <v>827.64136180555568</v>
      </c>
      <c r="AA9">
        <v>847.07659388888897</v>
      </c>
      <c r="AB9">
        <v>866.74946277777792</v>
      </c>
      <c r="AC9">
        <v>238.69061532986112</v>
      </c>
      <c r="AD9">
        <v>234.34637708333338</v>
      </c>
      <c r="AE9">
        <v>249.20767056423617</v>
      </c>
      <c r="AF9">
        <v>-0.51427770699395081</v>
      </c>
      <c r="AG9">
        <v>-0.91769073189629458</v>
      </c>
      <c r="AH9">
        <v>-0.91306181508382145</v>
      </c>
      <c r="AI9">
        <v>-0.99460344055066474</v>
      </c>
      <c r="AJ9">
        <v>86.129254462890628</v>
      </c>
      <c r="AK9">
        <v>84.118319238281245</v>
      </c>
      <c r="AL9">
        <v>85.89485660481769</v>
      </c>
      <c r="AM9">
        <v>359.56713406543304</v>
      </c>
      <c r="AN9">
        <v>358.56140605753581</v>
      </c>
      <c r="AO9">
        <v>361.25229794814214</v>
      </c>
      <c r="AP9">
        <v>11.05006182759656</v>
      </c>
      <c r="AQ9">
        <v>11.116596447765565</v>
      </c>
      <c r="AR9">
        <v>11.268065045832</v>
      </c>
      <c r="AS9">
        <v>555.03871562374536</v>
      </c>
      <c r="AT9">
        <v>23.064834110944009</v>
      </c>
      <c r="AU9">
        <v>33.570332014398581</v>
      </c>
      <c r="AV9">
        <v>548.37751589938682</v>
      </c>
      <c r="AW9">
        <v>22.361439894967077</v>
      </c>
      <c r="AX9">
        <v>33.610158377663296</v>
      </c>
      <c r="AY9">
        <v>552.58741620973376</v>
      </c>
      <c r="AZ9">
        <v>22.341399699534307</v>
      </c>
      <c r="BA9">
        <v>33.556435435957383</v>
      </c>
      <c r="BB9">
        <v>8320.2205844723831</v>
      </c>
      <c r="BC9">
        <v>8276.2595599446613</v>
      </c>
      <c r="BD9">
        <v>8018.6888175562908</v>
      </c>
      <c r="BE9">
        <v>574.57591616656828</v>
      </c>
      <c r="BF9">
        <v>567.55965981346992</v>
      </c>
      <c r="BG9">
        <v>569.8060536223519</v>
      </c>
      <c r="BH9">
        <v>528.06112570200571</v>
      </c>
      <c r="BI9">
        <v>524.28540369118582</v>
      </c>
      <c r="BJ9">
        <v>525.65991161127738</v>
      </c>
      <c r="BK9">
        <v>275.53676770934203</v>
      </c>
      <c r="BL9">
        <v>274.38037980912952</v>
      </c>
      <c r="BM9">
        <v>273.77464298162693</v>
      </c>
      <c r="BN9">
        <v>174.25306723995618</v>
      </c>
      <c r="BO9">
        <v>168.67919551380163</v>
      </c>
      <c r="BP9">
        <v>172.56059660559765</v>
      </c>
      <c r="BQ9">
        <v>54.555219925007293</v>
      </c>
      <c r="BR9">
        <v>54.017105004775779</v>
      </c>
      <c r="BS9">
        <v>56.409416718710773</v>
      </c>
      <c r="BT9">
        <v>528.14603655938049</v>
      </c>
      <c r="BU9">
        <v>80.164543150179142</v>
      </c>
      <c r="BV9">
        <v>274.20450848746395</v>
      </c>
      <c r="BW9">
        <v>90.864466061197916</v>
      </c>
      <c r="BX9">
        <v>46.217865423357225</v>
      </c>
      <c r="BY9">
        <v>85.519926343301137</v>
      </c>
      <c r="BZ9">
        <v>-90.506502354520137</v>
      </c>
      <c r="CA9">
        <v>172.45299394440116</v>
      </c>
      <c r="CB9">
        <v>169.55780587845686</v>
      </c>
      <c r="CC9">
        <v>167.62676697764496</v>
      </c>
      <c r="CD9">
        <v>175.94769019212092</v>
      </c>
      <c r="CE9">
        <v>172.85498873305005</v>
      </c>
      <c r="CF9">
        <v>170.9647257373513</v>
      </c>
      <c r="CG9">
        <v>51.969482463927804</v>
      </c>
      <c r="CH9">
        <v>51.455537187612315</v>
      </c>
      <c r="CI9">
        <v>53.610562076576002</v>
      </c>
      <c r="CJ9">
        <v>52.370335085052908</v>
      </c>
      <c r="CK9">
        <v>52.112240673413829</v>
      </c>
      <c r="CL9">
        <v>54.319312365372966</v>
      </c>
      <c r="CM9">
        <v>5.3502010867972531</v>
      </c>
      <c r="CN9">
        <v>4.7293798021648339</v>
      </c>
      <c r="CO9">
        <v>4.9524880829092535</v>
      </c>
      <c r="CP9">
        <v>5.4222861969149792</v>
      </c>
      <c r="CQ9">
        <v>4.8125783855103759</v>
      </c>
      <c r="CR9">
        <v>4.9997707398386178</v>
      </c>
      <c r="CS9">
        <v>109.52751428788504</v>
      </c>
      <c r="CT9">
        <v>109.25975554893283</v>
      </c>
      <c r="CU9">
        <v>109.98610600311913</v>
      </c>
      <c r="CV9">
        <v>108.24700730801692</v>
      </c>
      <c r="CW9">
        <v>108.12001353870393</v>
      </c>
      <c r="CX9">
        <v>108.42451813162486</v>
      </c>
      <c r="CY9">
        <v>10606.83571436198</v>
      </c>
      <c r="CZ9">
        <v>1383.4872809855483</v>
      </c>
      <c r="DA9">
        <v>47.611017334093525</v>
      </c>
      <c r="DB9">
        <v>37.306534591833739</v>
      </c>
      <c r="DC9">
        <v>44.049024855656079</v>
      </c>
      <c r="DD9">
        <v>110.15180403233845</v>
      </c>
      <c r="DE9">
        <v>109.56252595147026</v>
      </c>
      <c r="DF9">
        <v>110.23902918117525</v>
      </c>
      <c r="DG9">
        <v>8673.1258031089947</v>
      </c>
      <c r="DH9">
        <v>8617.124304120005</v>
      </c>
      <c r="DI9">
        <v>8532.7073966164808</v>
      </c>
      <c r="DJ9">
        <v>657.00071550901612</v>
      </c>
      <c r="DK9">
        <v>654.73236756971596</v>
      </c>
      <c r="DL9">
        <v>641.9148942740884</v>
      </c>
      <c r="DM9">
        <v>50.754432730822018</v>
      </c>
      <c r="DN9">
        <v>43.099634426414696</v>
      </c>
      <c r="DO9">
        <v>48.430819172428947</v>
      </c>
      <c r="DP9">
        <v>122.44686073374429</v>
      </c>
      <c r="DQ9">
        <v>126.01749640702351</v>
      </c>
      <c r="DR9">
        <v>130.40746301364055</v>
      </c>
      <c r="DS9">
        <v>172.95120440219461</v>
      </c>
      <c r="DT9">
        <v>32397.839970238172</v>
      </c>
      <c r="DU9">
        <v>30.606121749133003</v>
      </c>
      <c r="DV9">
        <v>41.008982780831644</v>
      </c>
      <c r="DW9">
        <v>40.590865917862772</v>
      </c>
      <c r="DX9">
        <v>41.899965453592934</v>
      </c>
      <c r="DY9">
        <v>3.4572326317416282</v>
      </c>
      <c r="DZ9">
        <v>3.4268867526796138</v>
      </c>
      <c r="EA9">
        <v>4.4303519567912168</v>
      </c>
      <c r="EB9">
        <v>2.464777793836991</v>
      </c>
      <c r="EC9">
        <v>51.155914601779521</v>
      </c>
      <c r="ED9">
        <v>67.788231371527772</v>
      </c>
      <c r="EE9">
        <v>68.799826271701392</v>
      </c>
      <c r="EF9">
        <v>42.064006234809035</v>
      </c>
      <c r="EG9">
        <v>56.543247309027777</v>
      </c>
      <c r="EH9">
        <v>56.986493681640617</v>
      </c>
      <c r="EI9">
        <v>23.445950235547485</v>
      </c>
      <c r="EJ9">
        <v>23.416893078886666</v>
      </c>
      <c r="EK9">
        <v>23.43546477395164</v>
      </c>
      <c r="EL9" s="123" t="s">
        <v>198</v>
      </c>
      <c r="EM9" s="123"/>
      <c r="EN9" s="123"/>
      <c r="EO9" s="123"/>
      <c r="EP9" s="2" t="e">
        <f>Base_Data_2026[[#This Row],[GT1A_Gen_MW]]/(#REF!*#REF!*VLOOKUP(Base_Data_2026[[#This Row],[Date Only]],'Fuel. Gas specifications'!$A$9:$Y$48,23,FALSE))</f>
        <v>#REF!</v>
      </c>
      <c r="EQ9" s="123" t="str">
        <f>IF(AND(Base_Data_2026[[#This Row],[GT1A_IGV_Position]]&gt;$KM$1,Base_Data_2026[[#This Row],[GT1B_IGV_Position]]&gt;$KM$1,Base_Data_2026[[#This Row],[GT1C_IGV_Position]]&gt;$KM$1),"Full Load","Part Load")</f>
        <v>Full Load</v>
      </c>
      <c r="ER9" s="124" t="str">
        <f>_xlfn.TEXTJOIN(" | ",FALSE,TEXT(Base_Data_2026[[#This Row],[GT1A_GCV_Position]],"#,##0.0"),TEXT(Base_Data_2026[[#This Row],[GT1B_GCV_Position]],"#,##0.0"),TEXT(Base_Data_2026[[#This Row],[GT1C_GCV_Position]],"#,##0.0"))</f>
        <v>51.2 | 67.8 | 68.8</v>
      </c>
      <c r="ES9" s="124" t="str">
        <f>_xlfn.TEXTJOIN(" | ",FALSE,TEXT(Base_Data_2026[[#This Row],[GT1A_Fuel_Flow]],"#,##0.0"),TEXT(Base_Data_2026[[#This Row],[GT1B_Fuel_Flow]],"#,##0.0"),TEXT(Base_Data_2026[[#This Row],[GT1C_Fuel_Flow]],"#,##0.0"))</f>
        <v>23.1 | 22.4 | 22.3</v>
      </c>
      <c r="ET9" s="124" t="str">
        <f>_xlfn.TEXTJOIN(" | ",FALSE,TEXT(Base_Data_2026[[#This Row],[GT1A_Comp_Disch_Press]],"#,##0.0"),TEXT(Base_Data_2026[[#This Row],[GT1B_Comp_Disch_Press]],"#,##0.0"),TEXT(Base_Data_2026[[#This Row],[GT1C_Comp_Disch_Press]],"#,##0.0"))</f>
        <v>11.1 | 11.1 | 11.3</v>
      </c>
      <c r="EU9" s="124" t="str">
        <f>_xlfn.TEXTJOIN(" | ",FALSE,TEXT(Base_Data_2026[[#This Row],[GT1A_Turb_Exh_Temp]],"#,##0.0"),TEXT(Base_Data_2026[[#This Row],[GT1B_Turb_Exh_Temp]],"#,##0.0"),TEXT(Base_Data_2026[[#This Row],[GT1C_Turb_Exh_Temp]],"#,##0.0"))</f>
        <v>555.0 | 548.4 | 552.6</v>
      </c>
      <c r="EV9" s="124" t="str">
        <f>_xlfn.TEXTJOIN(" | ",FALSE,TEXT(Base_Data_2026[[#This Row],[GT1A_Gen_MW]],"#,##0.0"),TEXT(Base_Data_2026[[#This Row],[GT1B_Gen_MW]],"#,##0.0"),TEXT(Base_Data_2026[[#This Row],[GT1C_Gen_MW]],"#,##0.0"))</f>
        <v>118.6 | 118.2 | 123.4</v>
      </c>
      <c r="KL9"/>
      <c r="KN9"/>
      <c r="KO9"/>
      <c r="KP9"/>
      <c r="KQ9"/>
    </row>
    <row r="10" spans="2:303" x14ac:dyDescent="0.25">
      <c r="C10" s="34">
        <v>46104</v>
      </c>
      <c r="D10">
        <v>21</v>
      </c>
      <c r="E10" s="35">
        <v>46104.875</v>
      </c>
      <c r="F10">
        <v>28.6728928357633</v>
      </c>
      <c r="G10">
        <v>49.163914470106754</v>
      </c>
      <c r="H10">
        <v>1004.3493878304541</v>
      </c>
      <c r="I10">
        <v>59</v>
      </c>
      <c r="J10">
        <v>20.537451937580634</v>
      </c>
      <c r="K10">
        <v>20.761640216259956</v>
      </c>
      <c r="L10">
        <v>21.004842422191299</v>
      </c>
      <c r="M10">
        <v>21.006471615484028</v>
      </c>
      <c r="N10">
        <v>3005.257801736112</v>
      </c>
      <c r="O10">
        <v>3005.3022399305546</v>
      </c>
      <c r="P10">
        <v>3005.3886831249997</v>
      </c>
      <c r="Q10">
        <v>3005.2553399305552</v>
      </c>
      <c r="R10">
        <v>3078</v>
      </c>
      <c r="S10">
        <v>6290.8731791666669</v>
      </c>
      <c r="T10">
        <v>3</v>
      </c>
      <c r="U10">
        <v>525.35499354192086</v>
      </c>
      <c r="V10">
        <v>119.59233264756946</v>
      </c>
      <c r="W10">
        <v>119.22652314236107</v>
      </c>
      <c r="X10">
        <v>124.8589885329861</v>
      </c>
      <c r="Y10">
        <v>179.97331696180552</v>
      </c>
      <c r="Z10">
        <v>828.44570499999975</v>
      </c>
      <c r="AA10">
        <v>861.85451361111109</v>
      </c>
      <c r="AB10">
        <v>883.03862972222203</v>
      </c>
      <c r="AC10">
        <v>238.90314698784732</v>
      </c>
      <c r="AD10">
        <v>239.28370453125004</v>
      </c>
      <c r="AE10">
        <v>254.74875601562508</v>
      </c>
      <c r="AF10">
        <v>-0.99982061916775178</v>
      </c>
      <c r="AG10">
        <v>-0.82436123297797315</v>
      </c>
      <c r="AH10">
        <v>-0.97766520056830508</v>
      </c>
      <c r="AI10">
        <v>-0.9966433352517251</v>
      </c>
      <c r="AJ10">
        <v>86.153982154947911</v>
      </c>
      <c r="AK10">
        <v>84.118606855468755</v>
      </c>
      <c r="AL10">
        <v>85.897977837456594</v>
      </c>
      <c r="AM10">
        <v>359.62860132127543</v>
      </c>
      <c r="AN10">
        <v>356.29565111233183</v>
      </c>
      <c r="AO10">
        <v>357.33213173131315</v>
      </c>
      <c r="AP10">
        <v>11.135606710090903</v>
      </c>
      <c r="AQ10">
        <v>11.225703525088896</v>
      </c>
      <c r="AR10">
        <v>11.404016070603266</v>
      </c>
      <c r="AS10">
        <v>553.91217746582026</v>
      </c>
      <c r="AT10">
        <v>22.810141442351345</v>
      </c>
      <c r="AU10">
        <v>34.539598394869692</v>
      </c>
      <c r="AV10">
        <v>545.14381872378897</v>
      </c>
      <c r="AW10">
        <v>22.112270044837</v>
      </c>
      <c r="AX10">
        <v>34.712324356534744</v>
      </c>
      <c r="AY10">
        <v>546.20490494303385</v>
      </c>
      <c r="AZ10">
        <v>22.069987948608929</v>
      </c>
      <c r="BA10">
        <v>34.647030328518539</v>
      </c>
      <c r="BB10">
        <v>8300.8108175691705</v>
      </c>
      <c r="BC10">
        <v>8256.9369777845641</v>
      </c>
      <c r="BD10">
        <v>7998.3280270732957</v>
      </c>
      <c r="BE10">
        <v>576.35071327214564</v>
      </c>
      <c r="BF10">
        <v>569.323632409634</v>
      </c>
      <c r="BG10">
        <v>571.77658039984806</v>
      </c>
      <c r="BH10">
        <v>527.60166038562352</v>
      </c>
      <c r="BI10">
        <v>522.16135111526478</v>
      </c>
      <c r="BJ10">
        <v>520.87459376759841</v>
      </c>
      <c r="BK10">
        <v>275.57692718172706</v>
      </c>
      <c r="BL10">
        <v>274.31890902877814</v>
      </c>
      <c r="BM10">
        <v>273.72801573930536</v>
      </c>
      <c r="BN10">
        <v>175.05324451822921</v>
      </c>
      <c r="BO10">
        <v>168.51284355317006</v>
      </c>
      <c r="BP10">
        <v>171.41381374301906</v>
      </c>
      <c r="BQ10">
        <v>54.823388383747734</v>
      </c>
      <c r="BR10">
        <v>54.394671856212611</v>
      </c>
      <c r="BS10">
        <v>57.19092387730705</v>
      </c>
      <c r="BT10">
        <v>525.97472632346262</v>
      </c>
      <c r="BU10">
        <v>79.946416967358047</v>
      </c>
      <c r="BV10">
        <v>274.26133499926249</v>
      </c>
      <c r="BW10">
        <v>90.911068161892359</v>
      </c>
      <c r="BX10">
        <v>46.081397520426634</v>
      </c>
      <c r="BY10">
        <v>85.142933847507877</v>
      </c>
      <c r="BZ10">
        <v>-90.603014719344216</v>
      </c>
      <c r="CA10">
        <v>173.03276154964874</v>
      </c>
      <c r="CB10">
        <v>168.13048929825675</v>
      </c>
      <c r="CC10">
        <v>166.04759520498496</v>
      </c>
      <c r="CD10">
        <v>176.49120478015894</v>
      </c>
      <c r="CE10">
        <v>171.50505967145284</v>
      </c>
      <c r="CF10">
        <v>169.3499975026152</v>
      </c>
      <c r="CG10">
        <v>52.166867254398142</v>
      </c>
      <c r="CH10">
        <v>51.614608481533274</v>
      </c>
      <c r="CI10">
        <v>54.300695236764483</v>
      </c>
      <c r="CJ10">
        <v>52.787453657798785</v>
      </c>
      <c r="CK10">
        <v>52.256091384294308</v>
      </c>
      <c r="CL10">
        <v>54.921264496790577</v>
      </c>
      <c r="CM10">
        <v>5.2565801237927534</v>
      </c>
      <c r="CN10">
        <v>4.7726394511341388</v>
      </c>
      <c r="CO10">
        <v>5.167656964511675</v>
      </c>
      <c r="CP10">
        <v>5.3506132550181293</v>
      </c>
      <c r="CQ10">
        <v>4.8348964258486031</v>
      </c>
      <c r="CR10">
        <v>5.2380337719796106</v>
      </c>
      <c r="CS10">
        <v>109.54410434487664</v>
      </c>
      <c r="CT10">
        <v>109.28483925154367</v>
      </c>
      <c r="CU10">
        <v>110.02742012717144</v>
      </c>
      <c r="CV10">
        <v>108.25697017729439</v>
      </c>
      <c r="CW10">
        <v>108.13000891259935</v>
      </c>
      <c r="CX10">
        <v>108.44090598290974</v>
      </c>
      <c r="CY10">
        <v>10713.065106048725</v>
      </c>
      <c r="CZ10">
        <v>1396.1848171694608</v>
      </c>
      <c r="DA10">
        <v>47.803935494151659</v>
      </c>
      <c r="DB10">
        <v>37.494516971555285</v>
      </c>
      <c r="DC10">
        <v>44.749666949863453</v>
      </c>
      <c r="DD10">
        <v>110.16958138105392</v>
      </c>
      <c r="DE10">
        <v>109.6011594054943</v>
      </c>
      <c r="DF10">
        <v>110.39688237915249</v>
      </c>
      <c r="DG10">
        <v>8657.390883591579</v>
      </c>
      <c r="DH10">
        <v>8597.1579072159784</v>
      </c>
      <c r="DI10">
        <v>8507.1384117993202</v>
      </c>
      <c r="DJ10">
        <v>659.40398266413376</v>
      </c>
      <c r="DK10">
        <v>657.56954779422381</v>
      </c>
      <c r="DL10">
        <v>645.9279505843607</v>
      </c>
      <c r="DM10">
        <v>50.88768380738685</v>
      </c>
      <c r="DN10">
        <v>43.323475211355401</v>
      </c>
      <c r="DO10">
        <v>49.313144583803819</v>
      </c>
      <c r="DP10">
        <v>122.60170170939125</v>
      </c>
      <c r="DQ10">
        <v>126.15175581410722</v>
      </c>
      <c r="DR10">
        <v>130.69585172725672</v>
      </c>
      <c r="DS10">
        <v>173.46756244688677</v>
      </c>
      <c r="DT10">
        <v>32800.15081399522</v>
      </c>
      <c r="DU10">
        <v>30.496578008813319</v>
      </c>
      <c r="DV10">
        <v>40.870214707261198</v>
      </c>
      <c r="DW10">
        <v>40.449382957865403</v>
      </c>
      <c r="DX10">
        <v>42.09003106084613</v>
      </c>
      <c r="DY10">
        <v>3.4953255939260455</v>
      </c>
      <c r="DZ10">
        <v>3.4773607851465549</v>
      </c>
      <c r="EA10">
        <v>4.4922569842387556</v>
      </c>
      <c r="EB10">
        <v>2.5116078216407693</v>
      </c>
      <c r="EC10">
        <v>50.514341541883667</v>
      </c>
      <c r="ED10">
        <v>67.099528097873247</v>
      </c>
      <c r="EE10">
        <v>68.343522438151055</v>
      </c>
      <c r="EF10">
        <v>41.60714004123264</v>
      </c>
      <c r="EG10">
        <v>55.979683981119791</v>
      </c>
      <c r="EH10">
        <v>56.579874453125001</v>
      </c>
      <c r="EI10">
        <v>23.514100933109383</v>
      </c>
      <c r="EJ10">
        <v>23.498345965524777</v>
      </c>
      <c r="EK10">
        <v>23.504150642907355</v>
      </c>
      <c r="EL10" s="123" t="s">
        <v>198</v>
      </c>
      <c r="EM10" s="123"/>
      <c r="EN10" s="123"/>
      <c r="EO10" s="123"/>
      <c r="EP10" s="2" t="e">
        <f>Base_Data_2026[[#This Row],[GT1A_Gen_MW]]/(#REF!*#REF!*VLOOKUP(Base_Data_2026[[#This Row],[Date Only]],'Fuel. Gas specifications'!$A$9:$Y$48,23,FALSE))</f>
        <v>#REF!</v>
      </c>
      <c r="EQ10" s="123" t="str">
        <f>IF(AND(Base_Data_2026[[#This Row],[GT1A_IGV_Position]]&gt;$KM$1,Base_Data_2026[[#This Row],[GT1B_IGV_Position]]&gt;$KM$1,Base_Data_2026[[#This Row],[GT1C_IGV_Position]]&gt;$KM$1),"Full Load","Part Load")</f>
        <v>Full Load</v>
      </c>
      <c r="ER10" s="124" t="str">
        <f>_xlfn.TEXTJOIN(" | ",FALSE,TEXT(Base_Data_2026[[#This Row],[GT1A_GCV_Position]],"#,##0.0"),TEXT(Base_Data_2026[[#This Row],[GT1B_GCV_Position]],"#,##0.0"),TEXT(Base_Data_2026[[#This Row],[GT1C_GCV_Position]],"#,##0.0"))</f>
        <v>50.5 | 67.1 | 68.3</v>
      </c>
      <c r="ES10" s="124" t="str">
        <f>_xlfn.TEXTJOIN(" | ",FALSE,TEXT(Base_Data_2026[[#This Row],[GT1A_Fuel_Flow]],"#,##0.0"),TEXT(Base_Data_2026[[#This Row],[GT1B_Fuel_Flow]],"#,##0.0"),TEXT(Base_Data_2026[[#This Row],[GT1C_Fuel_Flow]],"#,##0.0"))</f>
        <v>22.8 | 22.1 | 22.1</v>
      </c>
      <c r="ET10" s="124" t="str">
        <f>_xlfn.TEXTJOIN(" | ",FALSE,TEXT(Base_Data_2026[[#This Row],[GT1A_Comp_Disch_Press]],"#,##0.0"),TEXT(Base_Data_2026[[#This Row],[GT1B_Comp_Disch_Press]],"#,##0.0"),TEXT(Base_Data_2026[[#This Row],[GT1C_Comp_Disch_Press]],"#,##0.0"))</f>
        <v>11.1 | 11.2 | 11.4</v>
      </c>
      <c r="EU10" s="124" t="str">
        <f>_xlfn.TEXTJOIN(" | ",FALSE,TEXT(Base_Data_2026[[#This Row],[GT1A_Turb_Exh_Temp]],"#,##0.0"),TEXT(Base_Data_2026[[#This Row],[GT1B_Turb_Exh_Temp]],"#,##0.0"),TEXT(Base_Data_2026[[#This Row],[GT1C_Turb_Exh_Temp]],"#,##0.0"))</f>
        <v>553.9 | 545.1 | 546.2</v>
      </c>
      <c r="EV10" s="124" t="str">
        <f>_xlfn.TEXTJOIN(" | ",FALSE,TEXT(Base_Data_2026[[#This Row],[GT1A_Gen_MW]],"#,##0.0"),TEXT(Base_Data_2026[[#This Row],[GT1B_Gen_MW]],"#,##0.0"),TEXT(Base_Data_2026[[#This Row],[GT1C_Gen_MW]],"#,##0.0"))</f>
        <v>119.6 | 119.2 | 124.9</v>
      </c>
      <c r="KL10"/>
      <c r="KN10"/>
      <c r="KO10"/>
      <c r="KP10"/>
      <c r="KQ10"/>
    </row>
    <row r="11" spans="2:303" x14ac:dyDescent="0.25">
      <c r="C11" s="34">
        <v>46104</v>
      </c>
      <c r="D11">
        <v>22</v>
      </c>
      <c r="E11" s="35">
        <v>46104.916666666664</v>
      </c>
      <c r="F11">
        <v>27.824847182261152</v>
      </c>
      <c r="G11">
        <v>51.189621636301688</v>
      </c>
      <c r="H11">
        <v>1004.945462638482</v>
      </c>
      <c r="I11">
        <v>59</v>
      </c>
      <c r="J11">
        <v>20.335971730646545</v>
      </c>
      <c r="K11">
        <v>20.4478228799661</v>
      </c>
      <c r="L11">
        <v>20.682344847011567</v>
      </c>
      <c r="M11">
        <v>20.601536260794003</v>
      </c>
      <c r="N11">
        <v>3006.1385259722219</v>
      </c>
      <c r="O11">
        <v>3006.2294109027785</v>
      </c>
      <c r="P11">
        <v>3006.2336886805556</v>
      </c>
      <c r="Q11">
        <v>3006.2171804861114</v>
      </c>
      <c r="R11">
        <v>3078</v>
      </c>
      <c r="S11">
        <v>6235.8672349999997</v>
      </c>
      <c r="T11">
        <v>3</v>
      </c>
      <c r="U11">
        <v>524.60389699101779</v>
      </c>
      <c r="V11">
        <v>120.04106123697916</v>
      </c>
      <c r="W11">
        <v>119.5446637326389</v>
      </c>
      <c r="X11">
        <v>125.49074146701392</v>
      </c>
      <c r="Y11">
        <v>178.96533837239588</v>
      </c>
      <c r="Z11">
        <v>809.95828430555537</v>
      </c>
      <c r="AA11">
        <v>847.18458402777799</v>
      </c>
      <c r="AB11">
        <v>866.83569361111108</v>
      </c>
      <c r="AC11">
        <v>233.32058907986112</v>
      </c>
      <c r="AD11">
        <v>234.57283178819441</v>
      </c>
      <c r="AE11">
        <v>249.48401611111106</v>
      </c>
      <c r="AF11">
        <v>-0.9966545141771106</v>
      </c>
      <c r="AG11">
        <v>-0.94886108488294796</v>
      </c>
      <c r="AH11">
        <v>-0.99732153689914294</v>
      </c>
      <c r="AI11">
        <v>-0.97286546341179103</v>
      </c>
      <c r="AJ11">
        <v>86.136775483940966</v>
      </c>
      <c r="AK11">
        <v>84.119804550781254</v>
      </c>
      <c r="AL11">
        <v>85.896958509114583</v>
      </c>
      <c r="AM11">
        <v>355.88778044016522</v>
      </c>
      <c r="AN11">
        <v>356.02646007444599</v>
      </c>
      <c r="AO11">
        <v>361.09515271052885</v>
      </c>
      <c r="AP11">
        <v>11.205347670315373</v>
      </c>
      <c r="AQ11">
        <v>11.297171917975477</v>
      </c>
      <c r="AR11">
        <v>11.432284116230807</v>
      </c>
      <c r="AS11">
        <v>546.68666421147657</v>
      </c>
      <c r="AT11">
        <v>23.089099219152665</v>
      </c>
      <c r="AU11">
        <v>33.69851454349412</v>
      </c>
      <c r="AV11">
        <v>543.5319360187616</v>
      </c>
      <c r="AW11">
        <v>22.502601587175267</v>
      </c>
      <c r="AX11">
        <v>33.782921848335263</v>
      </c>
      <c r="AY11">
        <v>550.30806404344332</v>
      </c>
      <c r="AZ11">
        <v>22.621092318550755</v>
      </c>
      <c r="BA11">
        <v>33.724589463342028</v>
      </c>
      <c r="BB11">
        <v>8291.3121477880886</v>
      </c>
      <c r="BC11">
        <v>8249.9580069045678</v>
      </c>
      <c r="BD11">
        <v>7993.3454948677581</v>
      </c>
      <c r="BE11">
        <v>577.46804600145117</v>
      </c>
      <c r="BF11">
        <v>570.17373140670782</v>
      </c>
      <c r="BG11">
        <v>571.77568556164215</v>
      </c>
      <c r="BH11">
        <v>522.23539692652366</v>
      </c>
      <c r="BI11">
        <v>520.45284285953096</v>
      </c>
      <c r="BJ11">
        <v>523.94951941865725</v>
      </c>
      <c r="BK11">
        <v>275.63434137384212</v>
      </c>
      <c r="BL11">
        <v>274.4158326827494</v>
      </c>
      <c r="BM11">
        <v>273.72552598447999</v>
      </c>
      <c r="BN11">
        <v>172.93166687757696</v>
      </c>
      <c r="BO11">
        <v>168.67082247374213</v>
      </c>
      <c r="BP11">
        <v>173.4532872100024</v>
      </c>
      <c r="BQ11">
        <v>55.4718264585781</v>
      </c>
      <c r="BR11">
        <v>54.907234794387804</v>
      </c>
      <c r="BS11">
        <v>57.073989327037587</v>
      </c>
      <c r="BT11">
        <v>524.644487643297</v>
      </c>
      <c r="BU11">
        <v>79.887336758075307</v>
      </c>
      <c r="BV11">
        <v>274.36520853450355</v>
      </c>
      <c r="BW11">
        <v>90.956575557725685</v>
      </c>
      <c r="BX11">
        <v>46.010928446368119</v>
      </c>
      <c r="BY11">
        <v>84.677268759708426</v>
      </c>
      <c r="BZ11">
        <v>-90.721587940866669</v>
      </c>
      <c r="CA11">
        <v>171.20882427956047</v>
      </c>
      <c r="CB11">
        <v>169.32138788372038</v>
      </c>
      <c r="CC11">
        <v>168.39496373263458</v>
      </c>
      <c r="CD11">
        <v>174.58943498261351</v>
      </c>
      <c r="CE11">
        <v>172.71936120991609</v>
      </c>
      <c r="CF11">
        <v>171.80496415504453</v>
      </c>
      <c r="CG11">
        <v>52.813385682997172</v>
      </c>
      <c r="CH11">
        <v>52.074626075744632</v>
      </c>
      <c r="CI11">
        <v>54.06694293428</v>
      </c>
      <c r="CJ11">
        <v>53.207640410244203</v>
      </c>
      <c r="CK11">
        <v>52.710551028627826</v>
      </c>
      <c r="CL11">
        <v>54.818933467753709</v>
      </c>
      <c r="CM11">
        <v>5.4232963799076606</v>
      </c>
      <c r="CN11">
        <v>4.8235002053172717</v>
      </c>
      <c r="CO11">
        <v>5.1175790104864687</v>
      </c>
      <c r="CP11">
        <v>5.3849207547280535</v>
      </c>
      <c r="CQ11">
        <v>4.9033642733846756</v>
      </c>
      <c r="CR11">
        <v>5.1776427521455322</v>
      </c>
      <c r="CS11">
        <v>109.57735186912535</v>
      </c>
      <c r="CT11">
        <v>109.3237775792207</v>
      </c>
      <c r="CU11">
        <v>110.01017056665418</v>
      </c>
      <c r="CV11">
        <v>108.28523713897073</v>
      </c>
      <c r="CW11">
        <v>108.15334999851012</v>
      </c>
      <c r="CX11">
        <v>108.45803693186657</v>
      </c>
      <c r="CY11">
        <v>10700.527166456432</v>
      </c>
      <c r="CZ11">
        <v>1391.3885635058257</v>
      </c>
      <c r="DA11">
        <v>48.148755841491493</v>
      </c>
      <c r="DB11">
        <v>37.655144852454931</v>
      </c>
      <c r="DC11">
        <v>44.719261118817862</v>
      </c>
      <c r="DD11">
        <v>110.29548689929962</v>
      </c>
      <c r="DE11">
        <v>109.65052768180212</v>
      </c>
      <c r="DF11">
        <v>110.40524094899919</v>
      </c>
      <c r="DG11">
        <v>8637.2386025678206</v>
      </c>
      <c r="DH11">
        <v>8590.8771089434158</v>
      </c>
      <c r="DI11">
        <v>8510.3951391175651</v>
      </c>
      <c r="DJ11">
        <v>662.15091170566143</v>
      </c>
      <c r="DK11">
        <v>659.83876014678958</v>
      </c>
      <c r="DL11">
        <v>645.64122090910178</v>
      </c>
      <c r="DM11">
        <v>51.52243452854475</v>
      </c>
      <c r="DN11">
        <v>43.438592506320724</v>
      </c>
      <c r="DO11">
        <v>49.24116340769767</v>
      </c>
      <c r="DP11">
        <v>123.04812321304955</v>
      </c>
      <c r="DQ11">
        <v>126.63539807773378</v>
      </c>
      <c r="DR11">
        <v>130.47524301576408</v>
      </c>
      <c r="DS11">
        <v>173.45369555322435</v>
      </c>
      <c r="DT11">
        <v>32761.68144561036</v>
      </c>
      <c r="DU11">
        <v>30.351062903215077</v>
      </c>
      <c r="DV11">
        <v>40.809545139259775</v>
      </c>
      <c r="DW11">
        <v>40.326836697262664</v>
      </c>
      <c r="DX11">
        <v>42.068512910058779</v>
      </c>
      <c r="DY11">
        <v>3.402172526843283</v>
      </c>
      <c r="DZ11">
        <v>3.5041823664965213</v>
      </c>
      <c r="EA11">
        <v>4.5339892940978217</v>
      </c>
      <c r="EB11">
        <v>2.5054865987406836</v>
      </c>
      <c r="EC11">
        <v>51.127435376519102</v>
      </c>
      <c r="ED11">
        <v>68.272853968098943</v>
      </c>
      <c r="EE11">
        <v>69.247255363498283</v>
      </c>
      <c r="EF11">
        <v>42.081482446831586</v>
      </c>
      <c r="EG11">
        <v>56.937788880208323</v>
      </c>
      <c r="EH11">
        <v>57.327525859375008</v>
      </c>
      <c r="EI11">
        <v>23.487166215355128</v>
      </c>
      <c r="EJ11">
        <v>23.502877706829171</v>
      </c>
      <c r="EK11">
        <v>23.491649800395969</v>
      </c>
      <c r="EL11" s="123" t="s">
        <v>198</v>
      </c>
      <c r="EM11" s="123"/>
      <c r="EN11" s="123"/>
      <c r="EO11" s="123"/>
      <c r="EP11" s="2" t="e">
        <f>Base_Data_2026[[#This Row],[GT1A_Gen_MW]]/(#REF!*#REF!*VLOOKUP(Base_Data_2026[[#This Row],[Date Only]],'Fuel. Gas specifications'!$A$9:$Y$48,23,FALSE))</f>
        <v>#REF!</v>
      </c>
      <c r="EQ11" s="123" t="str">
        <f>IF(AND(Base_Data_2026[[#This Row],[GT1A_IGV_Position]]&gt;$KM$1,Base_Data_2026[[#This Row],[GT1B_IGV_Position]]&gt;$KM$1,Base_Data_2026[[#This Row],[GT1C_IGV_Position]]&gt;$KM$1),"Full Load","Part Load")</f>
        <v>Full Load</v>
      </c>
      <c r="ER11" s="124" t="str">
        <f>_xlfn.TEXTJOIN(" | ",FALSE,TEXT(Base_Data_2026[[#This Row],[GT1A_GCV_Position]],"#,##0.0"),TEXT(Base_Data_2026[[#This Row],[GT1B_GCV_Position]],"#,##0.0"),TEXT(Base_Data_2026[[#This Row],[GT1C_GCV_Position]],"#,##0.0"))</f>
        <v>51.1 | 68.3 | 69.2</v>
      </c>
      <c r="ES11" s="124" t="str">
        <f>_xlfn.TEXTJOIN(" | ",FALSE,TEXT(Base_Data_2026[[#This Row],[GT1A_Fuel_Flow]],"#,##0.0"),TEXT(Base_Data_2026[[#This Row],[GT1B_Fuel_Flow]],"#,##0.0"),TEXT(Base_Data_2026[[#This Row],[GT1C_Fuel_Flow]],"#,##0.0"))</f>
        <v>23.1 | 22.5 | 22.6</v>
      </c>
      <c r="ET11" s="124" t="str">
        <f>_xlfn.TEXTJOIN(" | ",FALSE,TEXT(Base_Data_2026[[#This Row],[GT1A_Comp_Disch_Press]],"#,##0.0"),TEXT(Base_Data_2026[[#This Row],[GT1B_Comp_Disch_Press]],"#,##0.0"),TEXT(Base_Data_2026[[#This Row],[GT1C_Comp_Disch_Press]],"#,##0.0"))</f>
        <v>11.2 | 11.3 | 11.4</v>
      </c>
      <c r="EU11" s="124" t="str">
        <f>_xlfn.TEXTJOIN(" | ",FALSE,TEXT(Base_Data_2026[[#This Row],[GT1A_Turb_Exh_Temp]],"#,##0.0"),TEXT(Base_Data_2026[[#This Row],[GT1B_Turb_Exh_Temp]],"#,##0.0"),TEXT(Base_Data_2026[[#This Row],[GT1C_Turb_Exh_Temp]],"#,##0.0"))</f>
        <v>546.7 | 543.5 | 550.3</v>
      </c>
      <c r="EV11" s="124" t="str">
        <f>_xlfn.TEXTJOIN(" | ",FALSE,TEXT(Base_Data_2026[[#This Row],[GT1A_Gen_MW]],"#,##0.0"),TEXT(Base_Data_2026[[#This Row],[GT1B_Gen_MW]],"#,##0.0"),TEXT(Base_Data_2026[[#This Row],[GT1C_Gen_MW]],"#,##0.0"))</f>
        <v>120.0 | 119.5 | 125.5</v>
      </c>
      <c r="KL11"/>
      <c r="KN11"/>
      <c r="KO11"/>
      <c r="KP11"/>
      <c r="KQ11"/>
    </row>
    <row r="12" spans="2:303" x14ac:dyDescent="0.25">
      <c r="C12" s="34">
        <v>46104</v>
      </c>
      <c r="D12">
        <v>23</v>
      </c>
      <c r="E12" s="35">
        <v>46104.958333333336</v>
      </c>
      <c r="F12">
        <v>27.120024753725254</v>
      </c>
      <c r="G12">
        <v>52.160187670031654</v>
      </c>
      <c r="H12">
        <v>1004.9724312379624</v>
      </c>
      <c r="I12">
        <v>59</v>
      </c>
      <c r="J12">
        <v>19.986944153084753</v>
      </c>
      <c r="K12">
        <v>20.219050443618563</v>
      </c>
      <c r="L12">
        <v>20.438806672732035</v>
      </c>
      <c r="M12">
        <v>20.241056337750756</v>
      </c>
      <c r="N12">
        <v>2996.4647958333326</v>
      </c>
      <c r="O12">
        <v>2996.5142053472223</v>
      </c>
      <c r="P12">
        <v>2996.603140486111</v>
      </c>
      <c r="Q12">
        <v>2996.5523829166659</v>
      </c>
      <c r="R12">
        <v>3078</v>
      </c>
      <c r="S12">
        <v>6301.6761175000001</v>
      </c>
      <c r="T12">
        <v>3</v>
      </c>
      <c r="U12">
        <v>521.24031935777452</v>
      </c>
      <c r="V12">
        <v>120.08347398871528</v>
      </c>
      <c r="W12">
        <v>118.46427379774308</v>
      </c>
      <c r="X12">
        <v>125.16463278211805</v>
      </c>
      <c r="Y12">
        <v>178.63380540798616</v>
      </c>
      <c r="Z12">
        <v>780.44395361111117</v>
      </c>
      <c r="AA12">
        <v>819.55648180555556</v>
      </c>
      <c r="AB12">
        <v>836.77045611111112</v>
      </c>
      <c r="AC12">
        <v>223.95246601562502</v>
      </c>
      <c r="AD12">
        <v>225.35525508680558</v>
      </c>
      <c r="AE12">
        <v>239.40745453993057</v>
      </c>
      <c r="AF12">
        <v>-0.98597593736436628</v>
      </c>
      <c r="AG12">
        <v>-0.99018977130466013</v>
      </c>
      <c r="AH12">
        <v>-0.98801470669216584</v>
      </c>
      <c r="AI12">
        <v>-0.98303131926601151</v>
      </c>
      <c r="AJ12">
        <v>85.970407955729172</v>
      </c>
      <c r="AK12">
        <v>84.118502089843744</v>
      </c>
      <c r="AL12">
        <v>85.897125493706582</v>
      </c>
      <c r="AM12">
        <v>357.9254359309727</v>
      </c>
      <c r="AN12">
        <v>357.17533634209525</v>
      </c>
      <c r="AO12">
        <v>359.67514964645386</v>
      </c>
      <c r="AP12">
        <v>11.149568014241851</v>
      </c>
      <c r="AQ12">
        <v>11.240549616355365</v>
      </c>
      <c r="AR12">
        <v>11.387268530067868</v>
      </c>
      <c r="AS12">
        <v>553.78644466825699</v>
      </c>
      <c r="AT12">
        <v>23.062704777788053</v>
      </c>
      <c r="AU12">
        <v>33.767300026548178</v>
      </c>
      <c r="AV12">
        <v>546.48118446741739</v>
      </c>
      <c r="AW12">
        <v>22.375129471587609</v>
      </c>
      <c r="AX12">
        <v>33.894344270084169</v>
      </c>
      <c r="AY12">
        <v>550.94013699150935</v>
      </c>
      <c r="AZ12">
        <v>22.671046383832831</v>
      </c>
      <c r="BA12">
        <v>33.853886322360566</v>
      </c>
      <c r="BB12">
        <v>8345.3109204975062</v>
      </c>
      <c r="BC12">
        <v>8302.83680830919</v>
      </c>
      <c r="BD12">
        <v>8042.7065308147567</v>
      </c>
      <c r="BE12">
        <v>576.72704290727404</v>
      </c>
      <c r="BF12">
        <v>569.62959074793514</v>
      </c>
      <c r="BG12">
        <v>571.59070999944061</v>
      </c>
      <c r="BH12">
        <v>527.24384578767581</v>
      </c>
      <c r="BI12">
        <v>522.78884792161762</v>
      </c>
      <c r="BJ12">
        <v>524.38473800723591</v>
      </c>
      <c r="BK12">
        <v>275.78409261866256</v>
      </c>
      <c r="BL12">
        <v>274.52638133045627</v>
      </c>
      <c r="BM12">
        <v>273.85707924079043</v>
      </c>
      <c r="BN12">
        <v>175.30584067225976</v>
      </c>
      <c r="BO12">
        <v>169.21207149831983</v>
      </c>
      <c r="BP12">
        <v>173.16750719054326</v>
      </c>
      <c r="BQ12">
        <v>55.094620706693874</v>
      </c>
      <c r="BR12">
        <v>54.593393627367007</v>
      </c>
      <c r="BS12">
        <v>57.023746506042478</v>
      </c>
      <c r="BT12">
        <v>526.81978167848365</v>
      </c>
      <c r="BU12">
        <v>80.38234255701488</v>
      </c>
      <c r="BV12">
        <v>274.48625124401508</v>
      </c>
      <c r="BW12">
        <v>91.015766424696139</v>
      </c>
      <c r="BX12">
        <v>45.969434074288486</v>
      </c>
      <c r="BY12">
        <v>84.301031825375034</v>
      </c>
      <c r="BZ12">
        <v>-90.767314892673511</v>
      </c>
      <c r="CA12">
        <v>173.28251334944827</v>
      </c>
      <c r="CB12">
        <v>168.98548807460361</v>
      </c>
      <c r="CC12">
        <v>167.95179240468764</v>
      </c>
      <c r="CD12">
        <v>176.6818920429865</v>
      </c>
      <c r="CE12">
        <v>172.39335587137853</v>
      </c>
      <c r="CF12">
        <v>171.20574895815952</v>
      </c>
      <c r="CG12">
        <v>52.345317583516454</v>
      </c>
      <c r="CH12">
        <v>51.951953514147846</v>
      </c>
      <c r="CI12">
        <v>54.166917232391597</v>
      </c>
      <c r="CJ12">
        <v>53.144080664938805</v>
      </c>
      <c r="CK12">
        <v>52.521977201248816</v>
      </c>
      <c r="CL12">
        <v>54.958812605338622</v>
      </c>
      <c r="CM12">
        <v>5.2227329345774312</v>
      </c>
      <c r="CN12">
        <v>4.850262115183936</v>
      </c>
      <c r="CO12">
        <v>5.187756333668232</v>
      </c>
      <c r="CP12">
        <v>5.42992212257478</v>
      </c>
      <c r="CQ12">
        <v>4.9222411282981771</v>
      </c>
      <c r="CR12">
        <v>5.2556777965827797</v>
      </c>
      <c r="CS12">
        <v>109.54028769419779</v>
      </c>
      <c r="CT12">
        <v>109.29806289027107</v>
      </c>
      <c r="CU12">
        <v>109.96421473373414</v>
      </c>
      <c r="CV12">
        <v>108.28129528547286</v>
      </c>
      <c r="CW12">
        <v>108.16203992304482</v>
      </c>
      <c r="CX12">
        <v>108.4630763430977</v>
      </c>
      <c r="CY12">
        <v>10601.702409020456</v>
      </c>
      <c r="CZ12">
        <v>1376.5730748821002</v>
      </c>
      <c r="DA12">
        <v>48.023012274791938</v>
      </c>
      <c r="DB12">
        <v>37.736023548263958</v>
      </c>
      <c r="DC12">
        <v>44.840526984710692</v>
      </c>
      <c r="DD12">
        <v>110.23510985410479</v>
      </c>
      <c r="DE12">
        <v>109.6457905870141</v>
      </c>
      <c r="DF12">
        <v>110.41794684534713</v>
      </c>
      <c r="DG12">
        <v>8699.7538725444865</v>
      </c>
      <c r="DH12">
        <v>8644.7190943082678</v>
      </c>
      <c r="DI12">
        <v>8558.6346640139436</v>
      </c>
      <c r="DJ12">
        <v>660.41984654905548</v>
      </c>
      <c r="DK12">
        <v>658.31841585305096</v>
      </c>
      <c r="DL12">
        <v>645.21572026078934</v>
      </c>
      <c r="DM12">
        <v>51.214776694572194</v>
      </c>
      <c r="DN12">
        <v>43.383825910447435</v>
      </c>
      <c r="DO12">
        <v>49.260136261036145</v>
      </c>
      <c r="DP12">
        <v>122.79273589965187</v>
      </c>
      <c r="DQ12">
        <v>126.31535458173751</v>
      </c>
      <c r="DR12">
        <v>130.24605573713936</v>
      </c>
      <c r="DS12">
        <v>172.82628301617521</v>
      </c>
      <c r="DT12">
        <v>32756.662977981749</v>
      </c>
      <c r="DU12">
        <v>30.212197904678977</v>
      </c>
      <c r="DV12">
        <v>40.735518307976193</v>
      </c>
      <c r="DW12">
        <v>40.223486268969637</v>
      </c>
      <c r="DX12">
        <v>41.934583948896204</v>
      </c>
      <c r="DY12">
        <v>3.4558984606286556</v>
      </c>
      <c r="DZ12">
        <v>3.4750812663043202</v>
      </c>
      <c r="EA12">
        <v>4.5077121147741215</v>
      </c>
      <c r="EB12">
        <v>2.4889239742220104</v>
      </c>
      <c r="EC12">
        <v>51.214615565321182</v>
      </c>
      <c r="ED12">
        <v>68.168530690104177</v>
      </c>
      <c r="EE12">
        <v>69.158325890842008</v>
      </c>
      <c r="EF12">
        <v>42.138877944878459</v>
      </c>
      <c r="EG12">
        <v>56.803107911241312</v>
      </c>
      <c r="EH12">
        <v>57.242484240451404</v>
      </c>
      <c r="EI12">
        <v>23.446266502506464</v>
      </c>
      <c r="EJ12">
        <v>23.400592674344388</v>
      </c>
      <c r="EK12">
        <v>23.429691786742207</v>
      </c>
      <c r="EL12" s="123" t="s">
        <v>198</v>
      </c>
      <c r="EM12" s="123"/>
      <c r="EN12" s="123"/>
      <c r="EO12" s="123"/>
      <c r="EP12" s="2" t="e">
        <f>Base_Data_2026[[#This Row],[GT1A_Gen_MW]]/(#REF!*#REF!*VLOOKUP(Base_Data_2026[[#This Row],[Date Only]],'Fuel. Gas specifications'!$A$9:$Y$48,23,FALSE))</f>
        <v>#REF!</v>
      </c>
      <c r="EQ12" s="123" t="str">
        <f>IF(AND(Base_Data_2026[[#This Row],[GT1A_IGV_Position]]&gt;$KM$1,Base_Data_2026[[#This Row],[GT1B_IGV_Position]]&gt;$KM$1,Base_Data_2026[[#This Row],[GT1C_IGV_Position]]&gt;$KM$1),"Full Load","Part Load")</f>
        <v>Full Load</v>
      </c>
      <c r="ER12" s="124" t="str">
        <f>_xlfn.TEXTJOIN(" | ",FALSE,TEXT(Base_Data_2026[[#This Row],[GT1A_GCV_Position]],"#,##0.0"),TEXT(Base_Data_2026[[#This Row],[GT1B_GCV_Position]],"#,##0.0"),TEXT(Base_Data_2026[[#This Row],[GT1C_GCV_Position]],"#,##0.0"))</f>
        <v>51.2 | 68.2 | 69.2</v>
      </c>
      <c r="ES12" s="124" t="str">
        <f>_xlfn.TEXTJOIN(" | ",FALSE,TEXT(Base_Data_2026[[#This Row],[GT1A_Fuel_Flow]],"#,##0.0"),TEXT(Base_Data_2026[[#This Row],[GT1B_Fuel_Flow]],"#,##0.0"),TEXT(Base_Data_2026[[#This Row],[GT1C_Fuel_Flow]],"#,##0.0"))</f>
        <v>23.1 | 22.4 | 22.7</v>
      </c>
      <c r="ET12" s="124" t="str">
        <f>_xlfn.TEXTJOIN(" | ",FALSE,TEXT(Base_Data_2026[[#This Row],[GT1A_Comp_Disch_Press]],"#,##0.0"),TEXT(Base_Data_2026[[#This Row],[GT1B_Comp_Disch_Press]],"#,##0.0"),TEXT(Base_Data_2026[[#This Row],[GT1C_Comp_Disch_Press]],"#,##0.0"))</f>
        <v>11.1 | 11.2 | 11.4</v>
      </c>
      <c r="EU12" s="124" t="str">
        <f>_xlfn.TEXTJOIN(" | ",FALSE,TEXT(Base_Data_2026[[#This Row],[GT1A_Turb_Exh_Temp]],"#,##0.0"),TEXT(Base_Data_2026[[#This Row],[GT1B_Turb_Exh_Temp]],"#,##0.0"),TEXT(Base_Data_2026[[#This Row],[GT1C_Turb_Exh_Temp]],"#,##0.0"))</f>
        <v>553.8 | 546.5 | 550.9</v>
      </c>
      <c r="EV12" s="124" t="str">
        <f>_xlfn.TEXTJOIN(" | ",FALSE,TEXT(Base_Data_2026[[#This Row],[GT1A_Gen_MW]],"#,##0.0"),TEXT(Base_Data_2026[[#This Row],[GT1B_Gen_MW]],"#,##0.0"),TEXT(Base_Data_2026[[#This Row],[GT1C_Gen_MW]],"#,##0.0"))</f>
        <v>120.1 | 118.5 | 125.2</v>
      </c>
      <c r="KL12"/>
      <c r="KN12"/>
      <c r="KO12"/>
      <c r="KP12"/>
      <c r="KQ12"/>
    </row>
    <row r="13" spans="2:303" x14ac:dyDescent="0.25">
      <c r="C13" s="34">
        <v>46104</v>
      </c>
      <c r="D13">
        <v>24</v>
      </c>
      <c r="E13" s="35">
        <v>46105</v>
      </c>
      <c r="F13">
        <v>26.399903558019009</v>
      </c>
      <c r="G13">
        <v>54.048312750688126</v>
      </c>
      <c r="H13">
        <v>1004.8277911404076</v>
      </c>
      <c r="I13">
        <v>59</v>
      </c>
      <c r="J13">
        <v>19.795883402376699</v>
      </c>
      <c r="K13">
        <v>19.748807104845046</v>
      </c>
      <c r="L13">
        <v>19.928095740557772</v>
      </c>
      <c r="M13">
        <v>19.932716339014895</v>
      </c>
      <c r="N13">
        <v>3000.6428470833334</v>
      </c>
      <c r="O13">
        <v>3000.6776340972224</v>
      </c>
      <c r="P13">
        <v>3000.7301145833339</v>
      </c>
      <c r="Q13">
        <v>3000.6434154166659</v>
      </c>
      <c r="R13">
        <v>3078</v>
      </c>
      <c r="S13">
        <v>6317.0854180555552</v>
      </c>
      <c r="T13">
        <v>3</v>
      </c>
      <c r="U13">
        <v>526.38257941453719</v>
      </c>
      <c r="V13">
        <v>120.8417663237847</v>
      </c>
      <c r="W13">
        <v>119.38461189670139</v>
      </c>
      <c r="X13">
        <v>126.02192802517358</v>
      </c>
      <c r="Y13">
        <v>179.23209585937494</v>
      </c>
      <c r="Z13">
        <v>770.57605305555558</v>
      </c>
      <c r="AA13">
        <v>810.23511083333324</v>
      </c>
      <c r="AB13">
        <v>828.36607458333333</v>
      </c>
      <c r="AC13">
        <v>220.47581526909721</v>
      </c>
      <c r="AD13">
        <v>222.2527979340278</v>
      </c>
      <c r="AE13">
        <v>236.38394922743055</v>
      </c>
      <c r="AF13">
        <v>-0.97852116380479592</v>
      </c>
      <c r="AG13">
        <v>-0.98380526114569766</v>
      </c>
      <c r="AH13">
        <v>-0.9814902605862087</v>
      </c>
      <c r="AI13">
        <v>-0.97568684319630294</v>
      </c>
      <c r="AJ13">
        <v>85.958698413628483</v>
      </c>
      <c r="AK13">
        <v>84.120480595703143</v>
      </c>
      <c r="AL13">
        <v>85.898606770833339</v>
      </c>
      <c r="AM13">
        <v>358.01525204487268</v>
      </c>
      <c r="AN13">
        <v>357.37543466518815</v>
      </c>
      <c r="AO13">
        <v>359.93046775553381</v>
      </c>
      <c r="AP13">
        <v>11.207327417527573</v>
      </c>
      <c r="AQ13">
        <v>11.303973327186375</v>
      </c>
      <c r="AR13">
        <v>11.447856868529584</v>
      </c>
      <c r="AS13">
        <v>553.04683476935486</v>
      </c>
      <c r="AT13">
        <v>23.532577507284483</v>
      </c>
      <c r="AU13">
        <v>33.244990647403931</v>
      </c>
      <c r="AV13">
        <v>545.56313616346563</v>
      </c>
      <c r="AW13">
        <v>22.857648466188635</v>
      </c>
      <c r="AX13">
        <v>33.350294284631929</v>
      </c>
      <c r="AY13">
        <v>550.18805253984237</v>
      </c>
      <c r="AZ13">
        <v>23.156372231342527</v>
      </c>
      <c r="BA13">
        <v>33.402242151474418</v>
      </c>
      <c r="BB13">
        <v>8360.7992785682527</v>
      </c>
      <c r="BC13">
        <v>8319.0228141577136</v>
      </c>
      <c r="BD13">
        <v>8058.610435097522</v>
      </c>
      <c r="BE13">
        <v>574.93058325015579</v>
      </c>
      <c r="BF13">
        <v>567.60186697453832</v>
      </c>
      <c r="BG13">
        <v>569.47559165995267</v>
      </c>
      <c r="BH13">
        <v>526.81436308127536</v>
      </c>
      <c r="BI13">
        <v>522.11785001590317</v>
      </c>
      <c r="BJ13">
        <v>523.86447768330891</v>
      </c>
      <c r="BK13">
        <v>275.82697254304674</v>
      </c>
      <c r="BL13">
        <v>274.5795408145226</v>
      </c>
      <c r="BM13">
        <v>273.88943183147012</v>
      </c>
      <c r="BN13">
        <v>175.6665439093187</v>
      </c>
      <c r="BO13">
        <v>169.57923128401427</v>
      </c>
      <c r="BP13">
        <v>173.57715741733554</v>
      </c>
      <c r="BQ13">
        <v>55.507906297021421</v>
      </c>
      <c r="BR13">
        <v>55.132696652638117</v>
      </c>
      <c r="BS13">
        <v>57.514431857361267</v>
      </c>
      <c r="BT13">
        <v>526.58458130009967</v>
      </c>
      <c r="BU13">
        <v>80.54562933692506</v>
      </c>
      <c r="BV13">
        <v>274.57713902893067</v>
      </c>
      <c r="BW13">
        <v>91.264119551866301</v>
      </c>
      <c r="BX13">
        <v>45.86598455776533</v>
      </c>
      <c r="BZ13">
        <v>-90.796181414000188</v>
      </c>
      <c r="CA13">
        <v>173.84341043141686</v>
      </c>
      <c r="CB13">
        <v>170.39677555054564</v>
      </c>
      <c r="CC13">
        <v>168.51214172757042</v>
      </c>
      <c r="CD13">
        <v>177.28511564207292</v>
      </c>
      <c r="CE13">
        <v>173.82226391845276</v>
      </c>
      <c r="CF13">
        <v>171.91288851233156</v>
      </c>
      <c r="CG13">
        <v>52.477875047138014</v>
      </c>
      <c r="CH13">
        <v>52.090568979216677</v>
      </c>
      <c r="CI13">
        <v>54.3114614779928</v>
      </c>
      <c r="CJ13">
        <v>53.254671892499893</v>
      </c>
      <c r="CK13">
        <v>52.737391358788798</v>
      </c>
      <c r="CL13">
        <v>55.211086238015511</v>
      </c>
      <c r="CM13">
        <v>5.315533185031514</v>
      </c>
      <c r="CN13">
        <v>4.7925280988543566</v>
      </c>
      <c r="CO13">
        <v>5.16843744099564</v>
      </c>
      <c r="CP13">
        <v>5.3804633162535236</v>
      </c>
      <c r="CQ13">
        <v>4.860886670443616</v>
      </c>
      <c r="CR13">
        <v>5.2280899899863522</v>
      </c>
      <c r="CS13">
        <v>109.56764534636181</v>
      </c>
      <c r="CT13">
        <v>109.28031327830205</v>
      </c>
      <c r="CU13">
        <v>109.99052097869235</v>
      </c>
      <c r="CV13">
        <v>108.27975526938124</v>
      </c>
      <c r="CW13">
        <v>108.14252339188468</v>
      </c>
      <c r="CX13">
        <v>108.4679057132149</v>
      </c>
      <c r="CY13">
        <v>10612.338315026318</v>
      </c>
      <c r="CZ13">
        <v>1375.3413488781737</v>
      </c>
      <c r="DA13">
        <v>48.038337251940852</v>
      </c>
      <c r="DB13">
        <v>37.81561266251034</v>
      </c>
      <c r="DC13">
        <v>44.933335325319518</v>
      </c>
      <c r="DD13">
        <v>110.22880881936607</v>
      </c>
      <c r="DE13">
        <v>109.63706388037362</v>
      </c>
      <c r="DF13">
        <v>110.42159221729067</v>
      </c>
      <c r="DG13">
        <v>8717.0138019707611</v>
      </c>
      <c r="DH13">
        <v>8662.2238452072488</v>
      </c>
      <c r="DI13">
        <v>8574.9551669816101</v>
      </c>
      <c r="DJ13">
        <v>659.47165839960735</v>
      </c>
      <c r="DK13">
        <v>657.69953170249062</v>
      </c>
      <c r="DL13">
        <v>644.37808056365975</v>
      </c>
      <c r="DM13">
        <v>51.261627541624684</v>
      </c>
      <c r="DN13">
        <v>43.40947044794823</v>
      </c>
      <c r="DO13">
        <v>49.325735240730708</v>
      </c>
      <c r="DP13">
        <v>122.70830929077781</v>
      </c>
      <c r="DQ13">
        <v>126.3416335445383</v>
      </c>
      <c r="DR13">
        <v>130.46090048368666</v>
      </c>
      <c r="DS13">
        <v>172.75274760527296</v>
      </c>
      <c r="DT13">
        <v>32697.891543568254</v>
      </c>
      <c r="DU13">
        <v>30.106968456148572</v>
      </c>
      <c r="DV13">
        <v>40.600243826347992</v>
      </c>
      <c r="DW13">
        <v>40.155683340058864</v>
      </c>
      <c r="DY13">
        <v>3.4318837814823779</v>
      </c>
      <c r="DZ13">
        <v>3.4868892094525354</v>
      </c>
      <c r="EA13">
        <v>4.5456176963994217</v>
      </c>
      <c r="EB13">
        <v>2.4980753139146166</v>
      </c>
      <c r="EC13">
        <v>52.123860557725706</v>
      </c>
      <c r="ED13">
        <v>69.619707417534713</v>
      </c>
      <c r="EE13">
        <v>70.41867181206598</v>
      </c>
      <c r="EF13">
        <v>42.875896271701393</v>
      </c>
      <c r="EG13">
        <v>58.03397013888889</v>
      </c>
      <c r="EH13">
        <v>58.320759670138877</v>
      </c>
      <c r="EI13">
        <v>23.456176422494252</v>
      </c>
      <c r="EJ13">
        <v>23.438013855566986</v>
      </c>
      <c r="EK13">
        <v>23.455316191879902</v>
      </c>
      <c r="EL13" s="123" t="s">
        <v>198</v>
      </c>
      <c r="EM13" s="123"/>
      <c r="EN13" s="123"/>
      <c r="EO13" s="123"/>
      <c r="EP13" s="2" t="e">
        <f>Base_Data_2026[[#This Row],[GT1A_Gen_MW]]/(#REF!*#REF!*VLOOKUP(Base_Data_2026[[#This Row],[Date Only]],'Fuel. Gas specifications'!$A$9:$Y$48,23,FALSE))</f>
        <v>#REF!</v>
      </c>
      <c r="EQ13" s="123" t="str">
        <f>IF(AND(Base_Data_2026[[#This Row],[GT1A_IGV_Position]]&gt;$KM$1,Base_Data_2026[[#This Row],[GT1B_IGV_Position]]&gt;$KM$1,Base_Data_2026[[#This Row],[GT1C_IGV_Position]]&gt;$KM$1),"Full Load","Part Load")</f>
        <v>Full Load</v>
      </c>
      <c r="ER13" s="124" t="str">
        <f>_xlfn.TEXTJOIN(" | ",FALSE,TEXT(Base_Data_2026[[#This Row],[GT1A_GCV_Position]],"#,##0.0"),TEXT(Base_Data_2026[[#This Row],[GT1B_GCV_Position]],"#,##0.0"),TEXT(Base_Data_2026[[#This Row],[GT1C_GCV_Position]],"#,##0.0"))</f>
        <v>52.1 | 69.6 | 70.4</v>
      </c>
      <c r="ES13" s="124" t="str">
        <f>_xlfn.TEXTJOIN(" | ",FALSE,TEXT(Base_Data_2026[[#This Row],[GT1A_Fuel_Flow]],"#,##0.0"),TEXT(Base_Data_2026[[#This Row],[GT1B_Fuel_Flow]],"#,##0.0"),TEXT(Base_Data_2026[[#This Row],[GT1C_Fuel_Flow]],"#,##0.0"))</f>
        <v>23.5 | 22.9 | 23.2</v>
      </c>
      <c r="ET13" s="124" t="str">
        <f>_xlfn.TEXTJOIN(" | ",FALSE,TEXT(Base_Data_2026[[#This Row],[GT1A_Comp_Disch_Press]],"#,##0.0"),TEXT(Base_Data_2026[[#This Row],[GT1B_Comp_Disch_Press]],"#,##0.0"),TEXT(Base_Data_2026[[#This Row],[GT1C_Comp_Disch_Press]],"#,##0.0"))</f>
        <v>11.2 | 11.3 | 11.4</v>
      </c>
      <c r="EU13" s="124" t="str">
        <f>_xlfn.TEXTJOIN(" | ",FALSE,TEXT(Base_Data_2026[[#This Row],[GT1A_Turb_Exh_Temp]],"#,##0.0"),TEXT(Base_Data_2026[[#This Row],[GT1B_Turb_Exh_Temp]],"#,##0.0"),TEXT(Base_Data_2026[[#This Row],[GT1C_Turb_Exh_Temp]],"#,##0.0"))</f>
        <v>553.0 | 545.6 | 550.2</v>
      </c>
      <c r="EV13" s="124" t="str">
        <f>_xlfn.TEXTJOIN(" | ",FALSE,TEXT(Base_Data_2026[[#This Row],[GT1A_Gen_MW]],"#,##0.0"),TEXT(Base_Data_2026[[#This Row],[GT1B_Gen_MW]],"#,##0.0"),TEXT(Base_Data_2026[[#This Row],[GT1C_Gen_MW]],"#,##0.0"))</f>
        <v>120.8 | 119.4 | 126.0</v>
      </c>
      <c r="KL13"/>
      <c r="KN13"/>
      <c r="KO13"/>
      <c r="KP13"/>
      <c r="KQ13"/>
    </row>
    <row r="14" spans="2:303" x14ac:dyDescent="0.25">
      <c r="KL14"/>
      <c r="KN14"/>
      <c r="KO14"/>
      <c r="KP14"/>
      <c r="KQ14"/>
    </row>
    <row r="15" spans="2:303" x14ac:dyDescent="0.25">
      <c r="KL15"/>
      <c r="KN15"/>
      <c r="KO15"/>
      <c r="KP15"/>
      <c r="KQ15"/>
    </row>
    <row r="16" spans="2:303" x14ac:dyDescent="0.25">
      <c r="KL16"/>
      <c r="KN16"/>
      <c r="KO16"/>
      <c r="KP16"/>
      <c r="KQ16"/>
    </row>
    <row r="17" customFormat="1" x14ac:dyDescent="0.25"/>
    <row r="18" customFormat="1" x14ac:dyDescent="0.25"/>
    <row r="19" customFormat="1" x14ac:dyDescent="0.25"/>
    <row r="20" customFormat="1" x14ac:dyDescent="0.25"/>
    <row r="21" customFormat="1" x14ac:dyDescent="0.25"/>
    <row r="22" customFormat="1" x14ac:dyDescent="0.25"/>
    <row r="23" customFormat="1" x14ac:dyDescent="0.25"/>
    <row r="24" customFormat="1" x14ac:dyDescent="0.25"/>
    <row r="25" customFormat="1" x14ac:dyDescent="0.25"/>
    <row r="26" customFormat="1" x14ac:dyDescent="0.25"/>
    <row r="27" customFormat="1" x14ac:dyDescent="0.25"/>
    <row r="28" customFormat="1" x14ac:dyDescent="0.25"/>
    <row r="29" customFormat="1" x14ac:dyDescent="0.25"/>
    <row r="30" customFormat="1" x14ac:dyDescent="0.25"/>
    <row r="31" customFormat="1" x14ac:dyDescent="0.25"/>
    <row r="32" customFormat="1" x14ac:dyDescent="0.25"/>
    <row r="33" customFormat="1" x14ac:dyDescent="0.25"/>
    <row r="34" customFormat="1" x14ac:dyDescent="0.25"/>
    <row r="35" customFormat="1" x14ac:dyDescent="0.25"/>
    <row r="36" customFormat="1" x14ac:dyDescent="0.25"/>
    <row r="37" customFormat="1" x14ac:dyDescent="0.25"/>
    <row r="38" customFormat="1" x14ac:dyDescent="0.25"/>
    <row r="39" customFormat="1" x14ac:dyDescent="0.25"/>
    <row r="40" customFormat="1" x14ac:dyDescent="0.25"/>
    <row r="41" customFormat="1" x14ac:dyDescent="0.25"/>
    <row r="42" customFormat="1" x14ac:dyDescent="0.25"/>
    <row r="43" customFormat="1" x14ac:dyDescent="0.25"/>
    <row r="44" customFormat="1" x14ac:dyDescent="0.25"/>
    <row r="45" customFormat="1" x14ac:dyDescent="0.25"/>
    <row r="46" customFormat="1" x14ac:dyDescent="0.25"/>
    <row r="47" customFormat="1" x14ac:dyDescent="0.25"/>
    <row r="48" customFormat="1" x14ac:dyDescent="0.25"/>
    <row r="49" customFormat="1" x14ac:dyDescent="0.25"/>
    <row r="50" customFormat="1" x14ac:dyDescent="0.25"/>
    <row r="51" customFormat="1" x14ac:dyDescent="0.25"/>
    <row r="52" customFormat="1" x14ac:dyDescent="0.25"/>
    <row r="53" customFormat="1" x14ac:dyDescent="0.25"/>
    <row r="54" customFormat="1" x14ac:dyDescent="0.25"/>
    <row r="55" customFormat="1" x14ac:dyDescent="0.25"/>
    <row r="56" customFormat="1" x14ac:dyDescent="0.25"/>
    <row r="57" customFormat="1" x14ac:dyDescent="0.25"/>
    <row r="58" customFormat="1" x14ac:dyDescent="0.25"/>
    <row r="59" customFormat="1" x14ac:dyDescent="0.25"/>
    <row r="60" customFormat="1" x14ac:dyDescent="0.25"/>
    <row r="61" customFormat="1" x14ac:dyDescent="0.25"/>
    <row r="62" customFormat="1" x14ac:dyDescent="0.25"/>
    <row r="63" customFormat="1" x14ac:dyDescent="0.25"/>
    <row r="64" customFormat="1" x14ac:dyDescent="0.25"/>
    <row r="65" customFormat="1" x14ac:dyDescent="0.25"/>
    <row r="66" customFormat="1" x14ac:dyDescent="0.25"/>
    <row r="67" customFormat="1" x14ac:dyDescent="0.25"/>
    <row r="68" customFormat="1" x14ac:dyDescent="0.25"/>
    <row r="69" customFormat="1" x14ac:dyDescent="0.25"/>
    <row r="70" customFormat="1" x14ac:dyDescent="0.25"/>
    <row r="71" customFormat="1" x14ac:dyDescent="0.25"/>
    <row r="72" customFormat="1" x14ac:dyDescent="0.25"/>
    <row r="73" customFormat="1" x14ac:dyDescent="0.25"/>
    <row r="74" customFormat="1" x14ac:dyDescent="0.25"/>
    <row r="75" customFormat="1" x14ac:dyDescent="0.25"/>
    <row r="76" customFormat="1" x14ac:dyDescent="0.25"/>
    <row r="77" customFormat="1" x14ac:dyDescent="0.25"/>
    <row r="78" customFormat="1" x14ac:dyDescent="0.25"/>
    <row r="79" customFormat="1" x14ac:dyDescent="0.25"/>
    <row r="80" customFormat="1" x14ac:dyDescent="0.25"/>
    <row r="81" customFormat="1" x14ac:dyDescent="0.25"/>
    <row r="82" customFormat="1" x14ac:dyDescent="0.25"/>
    <row r="83" customFormat="1" x14ac:dyDescent="0.25"/>
    <row r="84" customFormat="1" x14ac:dyDescent="0.25"/>
    <row r="85" customFormat="1" x14ac:dyDescent="0.25"/>
    <row r="86" customFormat="1" x14ac:dyDescent="0.25"/>
    <row r="87" customFormat="1" x14ac:dyDescent="0.25"/>
    <row r="88" customFormat="1" x14ac:dyDescent="0.25"/>
    <row r="89" customFormat="1" x14ac:dyDescent="0.25"/>
    <row r="90" customFormat="1" x14ac:dyDescent="0.25"/>
    <row r="91" customFormat="1" x14ac:dyDescent="0.25"/>
    <row r="92" customFormat="1" x14ac:dyDescent="0.25"/>
    <row r="93" customFormat="1" x14ac:dyDescent="0.25"/>
    <row r="94" customFormat="1" x14ac:dyDescent="0.25"/>
    <row r="95" customFormat="1" x14ac:dyDescent="0.25"/>
    <row r="96" customFormat="1" x14ac:dyDescent="0.25"/>
    <row r="97" customFormat="1" x14ac:dyDescent="0.25"/>
    <row r="98" customFormat="1" x14ac:dyDescent="0.25"/>
    <row r="99" customFormat="1" x14ac:dyDescent="0.25"/>
    <row r="100" customFormat="1" x14ac:dyDescent="0.25"/>
    <row r="101" customFormat="1" x14ac:dyDescent="0.25"/>
    <row r="102" customFormat="1" x14ac:dyDescent="0.25"/>
    <row r="103" customFormat="1" x14ac:dyDescent="0.25"/>
    <row r="104" customFormat="1" x14ac:dyDescent="0.25"/>
    <row r="105" customFormat="1" x14ac:dyDescent="0.25"/>
    <row r="106" customFormat="1" x14ac:dyDescent="0.25"/>
    <row r="107" customFormat="1" x14ac:dyDescent="0.25"/>
    <row r="108" customFormat="1" x14ac:dyDescent="0.25"/>
    <row r="109" customFormat="1" x14ac:dyDescent="0.25"/>
    <row r="110" customFormat="1" x14ac:dyDescent="0.25"/>
    <row r="111" customFormat="1" x14ac:dyDescent="0.25"/>
    <row r="112" customFormat="1" x14ac:dyDescent="0.25"/>
    <row r="113" customFormat="1" x14ac:dyDescent="0.25"/>
    <row r="114" customFormat="1" x14ac:dyDescent="0.25"/>
    <row r="115" customForma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x14ac:dyDescent="0.25"/>
    <row r="125" customFormat="1" x14ac:dyDescent="0.25"/>
    <row r="126" customFormat="1" x14ac:dyDescent="0.25"/>
    <row r="127" customFormat="1" x14ac:dyDescent="0.25"/>
    <row r="128" customFormat="1" x14ac:dyDescent="0.25"/>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row r="867" customFormat="1" x14ac:dyDescent="0.25"/>
    <row r="868" customFormat="1" x14ac:dyDescent="0.25"/>
    <row r="869" customFormat="1" x14ac:dyDescent="0.25"/>
    <row r="870" customFormat="1" x14ac:dyDescent="0.25"/>
    <row r="871" customFormat="1" x14ac:dyDescent="0.25"/>
    <row r="872" customFormat="1" x14ac:dyDescent="0.25"/>
    <row r="873" customFormat="1" x14ac:dyDescent="0.25"/>
    <row r="874" customFormat="1" x14ac:dyDescent="0.25"/>
    <row r="875" customFormat="1" x14ac:dyDescent="0.25"/>
    <row r="876" customFormat="1" x14ac:dyDescent="0.25"/>
    <row r="877" customFormat="1" x14ac:dyDescent="0.25"/>
    <row r="878" customFormat="1" x14ac:dyDescent="0.25"/>
    <row r="879" customFormat="1" x14ac:dyDescent="0.25"/>
    <row r="880" customFormat="1" x14ac:dyDescent="0.25"/>
    <row r="881" spans="227:303" x14ac:dyDescent="0.25">
      <c r="KL881"/>
      <c r="KN881"/>
      <c r="KO881"/>
      <c r="KP881"/>
      <c r="KQ881"/>
    </row>
    <row r="882" spans="227:303" x14ac:dyDescent="0.25">
      <c r="HS882" s="1"/>
      <c r="HU882" s="3"/>
      <c r="HV882" s="3"/>
      <c r="HW882" s="3"/>
      <c r="HX882" s="3"/>
      <c r="KL882"/>
      <c r="KN882"/>
      <c r="KO882"/>
      <c r="KP882"/>
      <c r="KQ882"/>
    </row>
    <row r="883" spans="227:303" x14ac:dyDescent="0.25">
      <c r="HS883" s="1"/>
      <c r="HU883" s="3"/>
      <c r="HV883" s="3"/>
      <c r="HW883" s="3"/>
      <c r="HX883" s="3"/>
      <c r="KL883"/>
      <c r="KN883"/>
      <c r="KO883"/>
      <c r="KP883"/>
      <c r="KQ883"/>
    </row>
    <row r="884" spans="227:303" x14ac:dyDescent="0.25">
      <c r="HS884" s="1"/>
      <c r="HU884" s="3"/>
      <c r="HV884" s="3"/>
      <c r="HW884" s="3"/>
      <c r="HX884" s="3"/>
      <c r="KL884"/>
      <c r="KN884"/>
      <c r="KO884"/>
      <c r="KP884"/>
      <c r="KQ884"/>
    </row>
    <row r="885" spans="227:303" x14ac:dyDescent="0.25">
      <c r="HS885" s="1"/>
      <c r="HU885" s="3"/>
      <c r="HV885" s="3"/>
      <c r="HW885" s="3"/>
      <c r="HX885" s="3"/>
      <c r="KL885"/>
      <c r="KN885"/>
      <c r="KO885"/>
      <c r="KP885"/>
      <c r="KQ885"/>
    </row>
    <row r="886" spans="227:303" x14ac:dyDescent="0.25">
      <c r="HS886" s="1"/>
      <c r="HU886" s="3"/>
      <c r="HV886" s="3"/>
      <c r="HW886" s="3"/>
      <c r="HX886" s="3"/>
      <c r="KL886"/>
      <c r="KN886"/>
      <c r="KO886"/>
      <c r="KP886"/>
      <c r="KQ886"/>
    </row>
    <row r="887" spans="227:303" x14ac:dyDescent="0.25">
      <c r="HS887" s="1"/>
      <c r="HU887" s="3"/>
      <c r="HV887" s="3"/>
      <c r="HW887" s="3"/>
      <c r="HX887" s="3"/>
      <c r="KL887"/>
      <c r="KN887"/>
      <c r="KO887"/>
      <c r="KP887"/>
      <c r="KQ887"/>
    </row>
    <row r="888" spans="227:303" x14ac:dyDescent="0.25">
      <c r="HS888" s="1"/>
      <c r="HU888" s="3"/>
      <c r="HV888" s="3"/>
      <c r="HW888" s="3"/>
      <c r="HX888" s="3"/>
      <c r="KL888"/>
      <c r="KN888"/>
      <c r="KO888"/>
      <c r="KP888"/>
      <c r="KQ888"/>
    </row>
    <row r="889" spans="227:303" x14ac:dyDescent="0.25">
      <c r="HS889" s="1"/>
      <c r="HU889" s="3"/>
      <c r="HV889" s="3"/>
      <c r="HW889" s="3"/>
      <c r="HX889" s="3"/>
      <c r="KL889"/>
      <c r="KN889"/>
      <c r="KO889"/>
      <c r="KP889"/>
      <c r="KQ889"/>
    </row>
    <row r="890" spans="227:303" x14ac:dyDescent="0.25">
      <c r="HS890" s="1"/>
      <c r="HU890" s="3"/>
      <c r="HV890" s="3"/>
      <c r="HW890" s="3"/>
      <c r="HX890" s="3"/>
      <c r="KL890"/>
      <c r="KN890"/>
      <c r="KO890"/>
      <c r="KP890"/>
      <c r="KQ890"/>
    </row>
    <row r="891" spans="227:303" x14ac:dyDescent="0.25">
      <c r="HS891" s="1"/>
      <c r="HU891" s="3"/>
      <c r="HV891" s="3"/>
      <c r="HW891" s="3"/>
      <c r="HX891" s="3"/>
      <c r="KL891"/>
      <c r="KN891"/>
      <c r="KO891"/>
      <c r="KP891"/>
      <c r="KQ891"/>
    </row>
    <row r="892" spans="227:303" x14ac:dyDescent="0.25">
      <c r="HS892" s="1"/>
      <c r="HU892" s="3"/>
      <c r="HV892" s="3"/>
      <c r="HW892" s="3"/>
      <c r="HX892" s="3"/>
      <c r="KL892"/>
      <c r="KN892"/>
      <c r="KO892"/>
      <c r="KP892"/>
      <c r="KQ892"/>
    </row>
    <row r="893" spans="227:303" x14ac:dyDescent="0.25">
      <c r="HS893" s="1"/>
      <c r="HU893" s="3"/>
      <c r="HV893" s="3"/>
      <c r="HW893" s="3"/>
      <c r="HX893" s="3"/>
      <c r="KL893"/>
      <c r="KN893"/>
      <c r="KO893"/>
      <c r="KP893"/>
      <c r="KQ893"/>
    </row>
    <row r="894" spans="227:303" x14ac:dyDescent="0.25">
      <c r="HS894" s="1"/>
      <c r="HU894" s="3"/>
      <c r="HV894" s="3"/>
      <c r="HW894" s="3"/>
      <c r="HX894" s="3"/>
      <c r="KL894"/>
      <c r="KN894"/>
      <c r="KO894"/>
      <c r="KP894"/>
      <c r="KQ894"/>
    </row>
    <row r="895" spans="227:303" x14ac:dyDescent="0.25">
      <c r="HS895" s="1"/>
      <c r="HU895" s="3"/>
      <c r="HV895" s="3"/>
      <c r="HW895" s="3"/>
      <c r="HX895" s="3"/>
      <c r="KL895"/>
      <c r="KN895"/>
      <c r="KO895"/>
      <c r="KP895"/>
      <c r="KQ895"/>
    </row>
    <row r="896" spans="227:303" x14ac:dyDescent="0.25">
      <c r="HS896" s="1"/>
      <c r="HU896" s="3"/>
      <c r="HV896" s="3"/>
      <c r="HW896" s="3"/>
      <c r="HX896" s="3"/>
      <c r="KL896"/>
      <c r="KN896"/>
      <c r="KO896"/>
      <c r="KP896"/>
      <c r="KQ896"/>
    </row>
    <row r="897" spans="227:303" x14ac:dyDescent="0.25">
      <c r="HS897" s="1"/>
      <c r="HU897" s="3"/>
      <c r="HV897" s="3"/>
      <c r="HW897" s="3"/>
      <c r="HX897" s="3"/>
      <c r="KL897"/>
      <c r="KN897"/>
      <c r="KO897"/>
      <c r="KP897"/>
      <c r="KQ897"/>
    </row>
    <row r="898" spans="227:303" x14ac:dyDescent="0.25">
      <c r="HS898" s="1"/>
      <c r="HU898" s="3"/>
      <c r="HV898" s="3"/>
      <c r="HW898" s="3"/>
      <c r="HX898" s="3"/>
      <c r="KL898"/>
      <c r="KN898"/>
      <c r="KO898"/>
      <c r="KP898"/>
      <c r="KQ898"/>
    </row>
    <row r="899" spans="227:303" x14ac:dyDescent="0.25">
      <c r="HS899" s="1"/>
      <c r="HU899" s="3"/>
      <c r="HV899" s="3"/>
      <c r="HW899" s="3"/>
      <c r="HX899" s="3"/>
      <c r="KL899"/>
      <c r="KN899"/>
      <c r="KO899"/>
      <c r="KP899"/>
      <c r="KQ899"/>
    </row>
    <row r="900" spans="227:303" x14ac:dyDescent="0.25">
      <c r="HS900" s="1"/>
      <c r="HU900" s="3"/>
      <c r="HV900" s="3"/>
      <c r="HW900" s="3"/>
      <c r="HX900" s="3"/>
      <c r="KL900"/>
      <c r="KN900"/>
      <c r="KO900"/>
      <c r="KP900"/>
      <c r="KQ900"/>
    </row>
    <row r="901" spans="227:303" x14ac:dyDescent="0.25">
      <c r="HS901" s="1"/>
      <c r="HU901" s="3"/>
      <c r="HV901" s="3"/>
      <c r="HW901" s="3"/>
      <c r="HX901" s="3"/>
      <c r="KL901"/>
      <c r="KN901"/>
      <c r="KO901"/>
      <c r="KP901"/>
      <c r="KQ901"/>
    </row>
    <row r="902" spans="227:303" x14ac:dyDescent="0.25">
      <c r="HS902" s="1"/>
      <c r="HU902" s="3"/>
      <c r="HV902" s="3"/>
      <c r="HW902" s="3"/>
      <c r="HX902" s="3"/>
      <c r="KL902"/>
      <c r="KN902"/>
      <c r="KO902"/>
      <c r="KP902"/>
      <c r="KQ902"/>
    </row>
    <row r="903" spans="227:303" x14ac:dyDescent="0.25">
      <c r="HS903" s="1"/>
      <c r="HU903" s="3"/>
      <c r="HV903" s="3"/>
      <c r="HW903" s="3"/>
      <c r="HX903" s="3"/>
      <c r="KL903"/>
      <c r="KN903"/>
      <c r="KO903"/>
      <c r="KP903"/>
      <c r="KQ903"/>
    </row>
    <row r="904" spans="227:303" x14ac:dyDescent="0.25">
      <c r="HS904" s="1"/>
      <c r="HU904" s="3"/>
      <c r="HV904" s="3"/>
      <c r="HW904" s="3"/>
      <c r="HX904" s="3"/>
      <c r="KL904"/>
      <c r="KN904"/>
      <c r="KO904"/>
      <c r="KP904"/>
      <c r="KQ904"/>
    </row>
    <row r="905" spans="227:303" x14ac:dyDescent="0.25">
      <c r="HS905" s="1"/>
      <c r="HU905" s="3"/>
      <c r="HV905" s="3"/>
      <c r="HW905" s="3"/>
      <c r="HX905" s="3"/>
      <c r="KL905"/>
      <c r="KN905"/>
      <c r="KO905"/>
      <c r="KP905"/>
      <c r="KQ905"/>
    </row>
    <row r="906" spans="227:303" x14ac:dyDescent="0.25">
      <c r="HS906" s="1"/>
      <c r="HU906" s="3"/>
      <c r="HV906" s="3"/>
      <c r="HW906" s="3"/>
      <c r="HX906" s="3"/>
      <c r="KL906"/>
      <c r="KN906"/>
      <c r="KO906"/>
      <c r="KP906"/>
      <c r="KQ906"/>
    </row>
    <row r="907" spans="227:303" x14ac:dyDescent="0.25">
      <c r="HS907" s="1"/>
      <c r="HU907" s="3"/>
      <c r="HV907" s="3"/>
      <c r="HW907" s="3"/>
      <c r="HX907" s="3"/>
      <c r="KL907"/>
      <c r="KN907"/>
      <c r="KO907"/>
      <c r="KP907"/>
      <c r="KQ907"/>
    </row>
    <row r="908" spans="227:303" x14ac:dyDescent="0.25">
      <c r="HS908" s="1"/>
      <c r="HU908" s="3"/>
      <c r="HV908" s="3"/>
      <c r="HW908" s="3"/>
      <c r="HX908" s="3"/>
      <c r="KL908"/>
      <c r="KN908"/>
      <c r="KO908"/>
      <c r="KP908"/>
      <c r="KQ908"/>
    </row>
    <row r="909" spans="227:303" x14ac:dyDescent="0.25">
      <c r="HS909" s="1"/>
      <c r="HU909" s="3"/>
      <c r="HV909" s="3"/>
      <c r="HW909" s="3"/>
      <c r="HX909" s="3"/>
      <c r="KL909"/>
      <c r="KN909"/>
      <c r="KO909"/>
      <c r="KP909"/>
      <c r="KQ909"/>
    </row>
    <row r="910" spans="227:303" x14ac:dyDescent="0.25">
      <c r="HS910" s="1"/>
      <c r="HU910" s="3"/>
      <c r="HV910" s="3"/>
      <c r="HW910" s="3"/>
      <c r="HX910" s="3"/>
      <c r="KL910"/>
      <c r="KN910"/>
      <c r="KO910"/>
      <c r="KP910"/>
      <c r="KQ910"/>
    </row>
    <row r="911" spans="227:303" x14ac:dyDescent="0.25">
      <c r="HS911" s="1"/>
      <c r="HU911" s="3"/>
      <c r="HV911" s="3"/>
      <c r="HW911" s="3"/>
      <c r="HX911" s="3"/>
      <c r="KL911"/>
      <c r="KN911"/>
      <c r="KO911"/>
      <c r="KP911"/>
      <c r="KQ911"/>
    </row>
    <row r="912" spans="227:303" x14ac:dyDescent="0.25">
      <c r="HS912" s="1"/>
      <c r="HU912" s="3"/>
      <c r="HV912" s="3"/>
      <c r="HW912" s="3"/>
      <c r="HX912" s="3"/>
      <c r="KL912"/>
      <c r="KN912"/>
      <c r="KO912"/>
      <c r="KP912"/>
      <c r="KQ912"/>
    </row>
    <row r="913" spans="227:303" x14ac:dyDescent="0.25">
      <c r="HS913" s="1"/>
      <c r="HU913" s="3"/>
      <c r="HV913" s="3"/>
      <c r="HW913" s="3"/>
      <c r="HX913" s="3"/>
      <c r="KL913"/>
      <c r="KN913"/>
      <c r="KO913"/>
      <c r="KP913"/>
      <c r="KQ913"/>
    </row>
    <row r="914" spans="227:303" x14ac:dyDescent="0.25">
      <c r="HS914" s="1"/>
      <c r="HU914" s="3"/>
      <c r="HV914" s="3"/>
      <c r="HW914" s="3"/>
      <c r="HX914" s="3"/>
      <c r="KL914"/>
      <c r="KN914"/>
      <c r="KO914"/>
      <c r="KP914"/>
      <c r="KQ914"/>
    </row>
    <row r="915" spans="227:303" x14ac:dyDescent="0.25">
      <c r="HS915" s="1"/>
      <c r="HU915" s="3"/>
      <c r="HV915" s="3"/>
      <c r="HW915" s="3"/>
      <c r="HX915" s="3"/>
      <c r="KL915"/>
      <c r="KN915"/>
      <c r="KO915"/>
      <c r="KP915"/>
      <c r="KQ915"/>
    </row>
    <row r="916" spans="227:303" x14ac:dyDescent="0.25">
      <c r="HS916" s="1"/>
      <c r="HU916" s="3"/>
      <c r="HV916" s="3"/>
      <c r="HW916" s="3"/>
      <c r="HX916" s="3"/>
      <c r="KL916"/>
      <c r="KN916"/>
      <c r="KO916"/>
      <c r="KP916"/>
      <c r="KQ916"/>
    </row>
    <row r="917" spans="227:303" x14ac:dyDescent="0.25">
      <c r="HS917" s="1"/>
      <c r="HU917" s="3"/>
      <c r="HV917" s="3"/>
      <c r="HW917" s="3"/>
      <c r="HX917" s="3"/>
      <c r="KL917"/>
      <c r="KN917"/>
      <c r="KO917"/>
      <c r="KP917"/>
      <c r="KQ917"/>
    </row>
    <row r="918" spans="227:303" x14ac:dyDescent="0.25">
      <c r="HS918" s="1"/>
      <c r="HU918" s="3"/>
      <c r="HV918" s="3"/>
      <c r="HW918" s="3"/>
      <c r="HX918" s="3"/>
      <c r="KL918"/>
      <c r="KN918"/>
      <c r="KO918"/>
      <c r="KP918"/>
      <c r="KQ918"/>
    </row>
    <row r="919" spans="227:303" x14ac:dyDescent="0.25">
      <c r="HS919" s="1"/>
      <c r="HU919" s="3"/>
      <c r="HV919" s="3"/>
      <c r="HW919" s="3"/>
      <c r="HX919" s="3"/>
      <c r="KL919"/>
      <c r="KN919"/>
      <c r="KO919"/>
      <c r="KP919"/>
      <c r="KQ919"/>
    </row>
    <row r="920" spans="227:303" x14ac:dyDescent="0.25">
      <c r="HS920" s="1"/>
      <c r="HU920" s="3"/>
      <c r="HV920" s="3"/>
      <c r="HW920" s="3"/>
      <c r="HX920" s="3"/>
      <c r="KL920"/>
      <c r="KN920"/>
      <c r="KO920"/>
      <c r="KP920"/>
      <c r="KQ920"/>
    </row>
    <row r="921" spans="227:303" x14ac:dyDescent="0.25">
      <c r="HS921" s="1"/>
      <c r="HU921" s="3"/>
      <c r="HV921" s="3"/>
      <c r="HW921" s="3"/>
      <c r="HX921" s="3"/>
      <c r="KL921"/>
      <c r="KN921"/>
      <c r="KO921"/>
      <c r="KP921"/>
      <c r="KQ921"/>
    </row>
    <row r="922" spans="227:303" x14ac:dyDescent="0.25">
      <c r="HS922" s="1"/>
      <c r="HU922" s="3"/>
      <c r="HV922" s="3"/>
      <c r="HW922" s="3"/>
      <c r="HX922" s="3"/>
      <c r="KL922"/>
      <c r="KN922"/>
      <c r="KO922"/>
      <c r="KP922"/>
      <c r="KQ922"/>
    </row>
    <row r="923" spans="227:303" x14ac:dyDescent="0.25">
      <c r="HS923" s="1"/>
      <c r="HU923" s="3"/>
      <c r="HV923" s="3"/>
      <c r="HW923" s="3"/>
      <c r="HX923" s="3"/>
      <c r="KL923"/>
      <c r="KN923"/>
      <c r="KO923"/>
      <c r="KP923"/>
      <c r="KQ923"/>
    </row>
    <row r="924" spans="227:303" x14ac:dyDescent="0.25">
      <c r="HS924" s="1"/>
      <c r="HU924" s="3"/>
      <c r="HV924" s="3"/>
      <c r="HW924" s="3"/>
      <c r="HX924" s="3"/>
      <c r="KL924"/>
      <c r="KN924"/>
      <c r="KO924"/>
      <c r="KP924"/>
      <c r="KQ924"/>
    </row>
    <row r="925" spans="227:303" x14ac:dyDescent="0.25">
      <c r="HS925" s="1"/>
      <c r="HU925" s="3"/>
      <c r="HV925" s="3"/>
      <c r="HW925" s="3"/>
      <c r="HX925" s="3"/>
      <c r="KL925"/>
      <c r="KN925"/>
      <c r="KO925"/>
      <c r="KP925"/>
      <c r="KQ925"/>
    </row>
    <row r="926" spans="227:303" x14ac:dyDescent="0.25">
      <c r="HS926" s="1"/>
      <c r="HU926" s="3"/>
      <c r="HV926" s="3"/>
      <c r="HW926" s="3"/>
      <c r="HX926" s="3"/>
      <c r="KL926"/>
      <c r="KN926"/>
      <c r="KO926"/>
      <c r="KP926"/>
      <c r="KQ926"/>
    </row>
    <row r="927" spans="227:303" x14ac:dyDescent="0.25">
      <c r="HS927" s="1"/>
      <c r="HU927" s="3"/>
      <c r="HV927" s="3"/>
      <c r="HW927" s="3"/>
      <c r="HX927" s="3"/>
      <c r="KL927"/>
      <c r="KN927"/>
      <c r="KO927"/>
      <c r="KP927"/>
      <c r="KQ927"/>
    </row>
    <row r="928" spans="227:303" x14ac:dyDescent="0.25">
      <c r="HS928" s="1"/>
      <c r="HU928" s="3"/>
      <c r="HV928" s="3"/>
      <c r="HW928" s="3"/>
      <c r="HX928" s="3"/>
      <c r="KL928"/>
      <c r="KN928"/>
      <c r="KO928"/>
      <c r="KP928"/>
      <c r="KQ928"/>
    </row>
    <row r="929" spans="227:303" x14ac:dyDescent="0.25">
      <c r="HS929" s="1"/>
      <c r="HU929" s="3"/>
      <c r="HV929" s="3"/>
      <c r="HW929" s="3"/>
      <c r="HX929" s="3"/>
      <c r="KL929"/>
      <c r="KN929"/>
      <c r="KO929"/>
      <c r="KP929"/>
      <c r="KQ929"/>
    </row>
    <row r="930" spans="227:303" x14ac:dyDescent="0.25">
      <c r="HS930" s="1"/>
      <c r="HU930" s="3"/>
      <c r="HV930" s="3"/>
      <c r="HW930" s="3"/>
      <c r="HX930" s="3"/>
      <c r="KL930"/>
      <c r="KN930"/>
      <c r="KO930"/>
      <c r="KP930"/>
      <c r="KQ930"/>
    </row>
    <row r="931" spans="227:303" x14ac:dyDescent="0.25">
      <c r="HS931" s="1"/>
      <c r="HU931" s="3"/>
      <c r="HV931" s="3"/>
      <c r="HW931" s="3"/>
      <c r="HX931" s="3"/>
      <c r="KL931"/>
      <c r="KN931"/>
      <c r="KO931"/>
      <c r="KP931"/>
      <c r="KQ931"/>
    </row>
    <row r="932" spans="227:303" x14ac:dyDescent="0.25">
      <c r="HS932" s="1"/>
      <c r="HU932" s="3"/>
      <c r="HV932" s="3"/>
      <c r="HW932" s="3"/>
      <c r="HX932" s="3"/>
      <c r="KL932"/>
      <c r="KN932"/>
      <c r="KO932"/>
      <c r="KP932"/>
      <c r="KQ932"/>
    </row>
    <row r="933" spans="227:303" x14ac:dyDescent="0.25">
      <c r="HS933" s="1"/>
      <c r="HU933" s="3"/>
      <c r="HV933" s="3"/>
      <c r="HW933" s="3"/>
      <c r="HX933" s="3"/>
      <c r="KL933"/>
      <c r="KN933"/>
      <c r="KO933"/>
      <c r="KP933"/>
      <c r="KQ933"/>
    </row>
    <row r="934" spans="227:303" x14ac:dyDescent="0.25">
      <c r="HS934" s="1"/>
      <c r="HU934" s="3"/>
      <c r="HV934" s="3"/>
      <c r="HW934" s="3"/>
      <c r="HX934" s="3"/>
      <c r="KL934"/>
      <c r="KN934"/>
      <c r="KO934"/>
      <c r="KP934"/>
      <c r="KQ934"/>
    </row>
    <row r="935" spans="227:303" x14ac:dyDescent="0.25">
      <c r="HS935" s="1"/>
      <c r="HU935" s="3"/>
      <c r="HV935" s="3"/>
      <c r="HW935" s="3"/>
      <c r="HX935" s="3"/>
      <c r="KL935"/>
      <c r="KN935"/>
      <c r="KO935"/>
      <c r="KP935"/>
      <c r="KQ935"/>
    </row>
    <row r="936" spans="227:303" x14ac:dyDescent="0.25">
      <c r="HS936" s="1"/>
      <c r="HU936" s="3"/>
      <c r="HV936" s="3"/>
      <c r="HW936" s="3"/>
      <c r="HX936" s="3"/>
      <c r="KL936"/>
      <c r="KN936"/>
      <c r="KO936"/>
      <c r="KP936"/>
      <c r="KQ936"/>
    </row>
    <row r="937" spans="227:303" x14ac:dyDescent="0.25">
      <c r="HS937" s="1"/>
      <c r="HU937" s="3"/>
      <c r="HV937" s="3"/>
      <c r="HW937" s="3"/>
      <c r="HX937" s="3"/>
      <c r="KL937"/>
      <c r="KN937"/>
      <c r="KO937"/>
      <c r="KP937"/>
      <c r="KQ937"/>
    </row>
    <row r="938" spans="227:303" x14ac:dyDescent="0.25">
      <c r="HS938" s="1"/>
      <c r="HU938" s="3"/>
      <c r="HV938" s="3"/>
      <c r="HW938" s="3"/>
      <c r="HX938" s="3"/>
      <c r="KL938"/>
      <c r="KN938"/>
      <c r="KO938"/>
      <c r="KP938"/>
      <c r="KQ938"/>
    </row>
    <row r="939" spans="227:303" x14ac:dyDescent="0.25">
      <c r="HS939" s="1"/>
      <c r="HU939" s="3"/>
      <c r="HV939" s="3"/>
      <c r="HW939" s="3"/>
      <c r="HX939" s="3"/>
      <c r="KL939"/>
      <c r="KN939"/>
      <c r="KO939"/>
      <c r="KP939"/>
      <c r="KQ939"/>
    </row>
    <row r="940" spans="227:303" x14ac:dyDescent="0.25">
      <c r="HS940" s="1"/>
      <c r="HU940" s="3"/>
      <c r="HV940" s="3"/>
      <c r="HW940" s="3"/>
      <c r="HX940" s="3"/>
      <c r="KL940"/>
      <c r="KN940"/>
      <c r="KO940"/>
      <c r="KP940"/>
      <c r="KQ940"/>
    </row>
    <row r="941" spans="227:303" x14ac:dyDescent="0.25">
      <c r="HS941" s="1"/>
      <c r="HU941" s="3"/>
      <c r="HV941" s="3"/>
      <c r="HW941" s="3"/>
      <c r="HX941" s="3"/>
      <c r="KL941"/>
      <c r="KN941"/>
      <c r="KO941"/>
      <c r="KP941"/>
      <c r="KQ941"/>
    </row>
    <row r="942" spans="227:303" x14ac:dyDescent="0.25">
      <c r="HS942" s="1"/>
      <c r="HU942" s="3"/>
      <c r="HV942" s="3"/>
      <c r="HW942" s="3"/>
      <c r="HX942" s="3"/>
      <c r="KL942"/>
      <c r="KN942"/>
      <c r="KO942"/>
      <c r="KP942"/>
      <c r="KQ942"/>
    </row>
    <row r="943" spans="227:303" x14ac:dyDescent="0.25">
      <c r="HS943" s="1"/>
      <c r="HU943" s="3"/>
      <c r="HV943" s="3"/>
      <c r="HW943" s="3"/>
      <c r="HX943" s="3"/>
      <c r="KL943"/>
      <c r="KN943"/>
      <c r="KO943"/>
      <c r="KP943"/>
      <c r="KQ943"/>
    </row>
    <row r="944" spans="227:303" x14ac:dyDescent="0.25">
      <c r="HS944" s="1"/>
      <c r="HU944" s="3"/>
      <c r="HV944" s="3"/>
      <c r="HW944" s="3"/>
      <c r="HX944" s="3"/>
      <c r="KL944"/>
      <c r="KN944"/>
      <c r="KO944"/>
      <c r="KP944"/>
      <c r="KQ944"/>
    </row>
    <row r="945" spans="227:303" x14ac:dyDescent="0.25">
      <c r="HS945" s="1"/>
      <c r="HU945" s="3"/>
      <c r="HV945" s="3"/>
      <c r="HW945" s="3"/>
      <c r="HX945" s="3"/>
      <c r="KL945"/>
      <c r="KN945"/>
      <c r="KO945"/>
      <c r="KP945"/>
      <c r="KQ945"/>
    </row>
    <row r="946" spans="227:303" x14ac:dyDescent="0.25">
      <c r="HS946" s="1"/>
      <c r="HU946" s="3"/>
      <c r="HV946" s="3"/>
      <c r="HW946" s="3"/>
      <c r="HX946" s="3"/>
      <c r="KL946"/>
      <c r="KN946"/>
      <c r="KO946"/>
      <c r="KP946"/>
      <c r="KQ946"/>
    </row>
    <row r="947" spans="227:303" x14ac:dyDescent="0.25">
      <c r="HS947" s="1"/>
      <c r="HU947" s="3"/>
      <c r="HV947" s="3"/>
      <c r="HW947" s="3"/>
      <c r="HX947" s="3"/>
      <c r="KL947"/>
      <c r="KN947"/>
      <c r="KO947"/>
      <c r="KP947"/>
      <c r="KQ947"/>
    </row>
    <row r="948" spans="227:303" x14ac:dyDescent="0.25">
      <c r="HS948" s="1"/>
      <c r="HU948" s="3"/>
      <c r="HV948" s="3"/>
      <c r="HW948" s="3"/>
      <c r="HX948" s="3"/>
      <c r="KL948"/>
      <c r="KN948"/>
      <c r="KO948"/>
      <c r="KP948"/>
      <c r="KQ948"/>
    </row>
    <row r="949" spans="227:303" x14ac:dyDescent="0.25">
      <c r="HS949" s="1"/>
      <c r="HU949" s="3"/>
      <c r="HV949" s="3"/>
      <c r="HW949" s="3"/>
      <c r="HX949" s="3"/>
      <c r="KL949"/>
      <c r="KN949"/>
      <c r="KO949"/>
      <c r="KP949"/>
      <c r="KQ949"/>
    </row>
    <row r="950" spans="227:303" x14ac:dyDescent="0.25">
      <c r="HS950" s="1"/>
      <c r="HU950" s="3"/>
      <c r="HV950" s="3"/>
      <c r="HW950" s="3"/>
      <c r="HX950" s="3"/>
      <c r="KL950"/>
      <c r="KN950"/>
      <c r="KO950"/>
      <c r="KP950"/>
      <c r="KQ950"/>
    </row>
    <row r="951" spans="227:303" x14ac:dyDescent="0.25">
      <c r="HS951" s="1"/>
      <c r="HU951" s="3"/>
      <c r="HV951" s="3"/>
      <c r="HW951" s="3"/>
      <c r="HX951" s="3"/>
      <c r="KL951"/>
      <c r="KN951"/>
      <c r="KO951"/>
      <c r="KP951"/>
      <c r="KQ951"/>
    </row>
    <row r="952" spans="227:303" x14ac:dyDescent="0.25">
      <c r="HS952" s="1"/>
      <c r="HU952" s="3"/>
      <c r="HV952" s="3"/>
      <c r="HW952" s="3"/>
      <c r="HX952" s="3"/>
      <c r="KL952"/>
      <c r="KN952"/>
      <c r="KO952"/>
      <c r="KP952"/>
      <c r="KQ952"/>
    </row>
    <row r="953" spans="227:303" x14ac:dyDescent="0.25">
      <c r="HS953" s="1"/>
      <c r="HU953" s="3"/>
      <c r="HV953" s="3"/>
      <c r="HW953" s="3"/>
      <c r="HX953" s="3"/>
      <c r="KL953"/>
      <c r="KN953"/>
      <c r="KO953"/>
      <c r="KP953"/>
      <c r="KQ953"/>
    </row>
    <row r="954" spans="227:303" x14ac:dyDescent="0.25">
      <c r="HS954" s="1"/>
      <c r="HU954" s="3"/>
      <c r="HV954" s="3"/>
      <c r="HW954" s="3"/>
      <c r="HX954" s="3"/>
      <c r="KL954"/>
      <c r="KN954"/>
      <c r="KO954"/>
      <c r="KP954"/>
      <c r="KQ954"/>
    </row>
    <row r="955" spans="227:303" x14ac:dyDescent="0.25">
      <c r="HS955" s="1"/>
      <c r="HU955" s="3"/>
      <c r="HV955" s="3"/>
      <c r="HW955" s="3"/>
      <c r="HX955" s="3"/>
      <c r="KL955"/>
      <c r="KN955"/>
      <c r="KO955"/>
      <c r="KP955"/>
      <c r="KQ955"/>
    </row>
    <row r="956" spans="227:303" x14ac:dyDescent="0.25">
      <c r="HS956" s="1"/>
      <c r="HU956" s="3"/>
      <c r="HV956" s="3"/>
      <c r="HW956" s="3"/>
      <c r="HX956" s="3"/>
      <c r="KL956"/>
      <c r="KN956"/>
      <c r="KO956"/>
      <c r="KP956"/>
      <c r="KQ956"/>
    </row>
    <row r="957" spans="227:303" x14ac:dyDescent="0.25">
      <c r="HS957" s="1"/>
      <c r="HU957" s="3"/>
      <c r="HV957" s="3"/>
      <c r="HW957" s="3"/>
      <c r="HX957" s="3"/>
      <c r="KL957"/>
      <c r="KN957"/>
      <c r="KO957"/>
      <c r="KP957"/>
      <c r="KQ957"/>
    </row>
    <row r="958" spans="227:303" x14ac:dyDescent="0.25">
      <c r="HS958" s="1"/>
      <c r="HU958" s="3"/>
      <c r="HV958" s="3"/>
      <c r="HW958" s="3"/>
      <c r="HX958" s="3"/>
      <c r="KL958"/>
      <c r="KN958"/>
      <c r="KO958"/>
      <c r="KP958"/>
      <c r="KQ958"/>
    </row>
    <row r="959" spans="227:303" x14ac:dyDescent="0.25">
      <c r="HS959" s="1"/>
      <c r="HU959" s="3"/>
      <c r="HV959" s="3"/>
      <c r="HW959" s="3"/>
      <c r="HX959" s="3"/>
      <c r="KL959"/>
      <c r="KN959"/>
      <c r="KO959"/>
      <c r="KP959"/>
      <c r="KQ959"/>
    </row>
    <row r="960" spans="227:303" x14ac:dyDescent="0.25">
      <c r="HS960" s="1"/>
      <c r="HU960" s="3"/>
      <c r="HV960" s="3"/>
      <c r="HW960" s="3"/>
      <c r="HX960" s="3"/>
      <c r="KL960"/>
      <c r="KN960"/>
      <c r="KO960"/>
      <c r="KP960"/>
      <c r="KQ960"/>
    </row>
    <row r="961" spans="227:303" x14ac:dyDescent="0.25">
      <c r="HS961" s="1"/>
      <c r="HU961" s="3"/>
      <c r="HV961" s="3"/>
      <c r="HW961" s="3"/>
      <c r="HX961" s="3"/>
      <c r="KL961"/>
      <c r="KN961"/>
      <c r="KO961"/>
      <c r="KP961"/>
      <c r="KQ961"/>
    </row>
    <row r="962" spans="227:303" x14ac:dyDescent="0.25">
      <c r="HS962" s="1"/>
      <c r="HU962" s="3"/>
      <c r="HV962" s="3"/>
      <c r="HW962" s="3"/>
      <c r="HX962" s="3"/>
      <c r="KL962"/>
      <c r="KN962"/>
      <c r="KO962"/>
      <c r="KP962"/>
      <c r="KQ962"/>
    </row>
    <row r="963" spans="227:303" x14ac:dyDescent="0.25">
      <c r="HS963" s="1"/>
      <c r="HU963" s="3"/>
      <c r="HV963" s="3"/>
      <c r="HW963" s="3"/>
      <c r="HX963" s="3"/>
      <c r="KL963"/>
      <c r="KN963"/>
      <c r="KO963"/>
      <c r="KP963"/>
      <c r="KQ963"/>
    </row>
    <row r="964" spans="227:303" x14ac:dyDescent="0.25">
      <c r="HS964" s="1"/>
      <c r="HU964" s="3"/>
      <c r="HV964" s="3"/>
      <c r="HW964" s="3"/>
      <c r="HX964" s="3"/>
      <c r="KL964"/>
      <c r="KN964"/>
      <c r="KO964"/>
      <c r="KP964"/>
      <c r="KQ964"/>
    </row>
    <row r="965" spans="227:303" x14ac:dyDescent="0.25">
      <c r="HS965" s="1"/>
      <c r="HU965" s="3"/>
      <c r="HV965" s="3"/>
      <c r="HW965" s="3"/>
      <c r="HX965" s="3"/>
      <c r="KL965"/>
      <c r="KN965"/>
      <c r="KO965"/>
      <c r="KP965"/>
      <c r="KQ965"/>
    </row>
    <row r="966" spans="227:303" x14ac:dyDescent="0.25">
      <c r="HS966" s="1"/>
      <c r="HU966" s="3"/>
      <c r="HV966" s="3"/>
      <c r="HW966" s="3"/>
      <c r="HX966" s="3"/>
      <c r="KL966"/>
      <c r="KN966"/>
      <c r="KO966"/>
      <c r="KP966"/>
      <c r="KQ966"/>
    </row>
    <row r="967" spans="227:303" x14ac:dyDescent="0.25">
      <c r="HS967" s="1"/>
      <c r="HU967" s="3"/>
      <c r="HV967" s="3"/>
      <c r="HW967" s="3"/>
      <c r="HX967" s="3"/>
      <c r="KL967"/>
      <c r="KN967"/>
      <c r="KO967"/>
      <c r="KP967"/>
      <c r="KQ967"/>
    </row>
    <row r="968" spans="227:303" x14ac:dyDescent="0.25">
      <c r="HS968" s="1"/>
      <c r="HU968" s="3"/>
      <c r="HV968" s="3"/>
      <c r="HW968" s="3"/>
      <c r="HX968" s="3"/>
      <c r="KL968"/>
      <c r="KN968"/>
      <c r="KO968"/>
      <c r="KP968"/>
      <c r="KQ968"/>
    </row>
    <row r="969" spans="227:303" x14ac:dyDescent="0.25">
      <c r="HS969" s="1"/>
      <c r="HU969" s="3"/>
      <c r="HV969" s="3"/>
      <c r="HW969" s="3"/>
      <c r="HX969" s="3"/>
      <c r="KL969"/>
      <c r="KN969"/>
      <c r="KO969"/>
      <c r="KP969"/>
      <c r="KQ969"/>
    </row>
    <row r="970" spans="227:303" x14ac:dyDescent="0.25">
      <c r="HS970" s="1"/>
      <c r="HU970" s="3"/>
      <c r="HV970" s="3"/>
      <c r="HW970" s="3"/>
      <c r="HX970" s="3"/>
      <c r="KL970"/>
      <c r="KN970"/>
      <c r="KO970"/>
      <c r="KP970"/>
      <c r="KQ970"/>
    </row>
    <row r="971" spans="227:303" x14ac:dyDescent="0.25">
      <c r="HS971" s="1"/>
      <c r="HU971" s="3"/>
      <c r="HV971" s="3"/>
      <c r="HW971" s="3"/>
      <c r="HX971" s="3"/>
      <c r="KL971"/>
      <c r="KN971"/>
      <c r="KO971"/>
      <c r="KP971"/>
      <c r="KQ971"/>
    </row>
    <row r="972" spans="227:303" x14ac:dyDescent="0.25">
      <c r="HS972" s="1"/>
      <c r="HU972" s="3"/>
      <c r="HV972" s="3"/>
      <c r="HW972" s="3"/>
      <c r="HX972" s="3"/>
      <c r="KL972"/>
      <c r="KN972"/>
      <c r="KO972"/>
      <c r="KP972"/>
      <c r="KQ972"/>
    </row>
    <row r="973" spans="227:303" x14ac:dyDescent="0.25">
      <c r="HS973" s="1"/>
      <c r="HU973" s="3"/>
      <c r="HV973" s="3"/>
      <c r="HW973" s="3"/>
      <c r="HX973" s="3"/>
      <c r="KL973"/>
      <c r="KN973"/>
      <c r="KO973"/>
      <c r="KP973"/>
      <c r="KQ973"/>
    </row>
    <row r="974" spans="227:303" x14ac:dyDescent="0.25">
      <c r="HS974" s="1"/>
      <c r="HU974" s="3"/>
      <c r="HV974" s="3"/>
      <c r="HW974" s="3"/>
      <c r="HX974" s="3"/>
      <c r="KL974"/>
      <c r="KN974"/>
      <c r="KO974"/>
      <c r="KP974"/>
      <c r="KQ974"/>
    </row>
    <row r="975" spans="227:303" x14ac:dyDescent="0.25">
      <c r="HS975" s="1"/>
      <c r="HU975" s="3"/>
      <c r="HV975" s="3"/>
      <c r="HW975" s="3"/>
      <c r="HX975" s="3"/>
      <c r="KL975"/>
      <c r="KN975"/>
      <c r="KO975"/>
      <c r="KP975"/>
      <c r="KQ975"/>
    </row>
    <row r="976" spans="227:303" x14ac:dyDescent="0.25">
      <c r="HS976" s="1"/>
      <c r="HU976" s="3"/>
      <c r="HV976" s="3"/>
      <c r="HW976" s="3"/>
      <c r="HX976" s="3"/>
      <c r="KL976"/>
      <c r="KN976"/>
      <c r="KO976"/>
      <c r="KP976"/>
      <c r="KQ976"/>
    </row>
    <row r="977" spans="227:303" x14ac:dyDescent="0.25">
      <c r="HS977" s="1"/>
      <c r="HU977" s="3"/>
      <c r="HV977" s="3"/>
      <c r="HW977" s="3"/>
      <c r="HX977" s="3"/>
      <c r="KL977"/>
      <c r="KN977"/>
      <c r="KO977"/>
      <c r="KP977"/>
      <c r="KQ977"/>
    </row>
    <row r="978" spans="227:303" x14ac:dyDescent="0.25">
      <c r="HS978" s="1"/>
      <c r="HU978" s="3"/>
      <c r="HV978" s="3"/>
      <c r="HW978" s="3"/>
      <c r="HX978" s="3"/>
      <c r="KL978"/>
      <c r="KN978"/>
      <c r="KO978"/>
      <c r="KP978"/>
      <c r="KQ978"/>
    </row>
    <row r="979" spans="227:303" x14ac:dyDescent="0.25">
      <c r="HS979" s="1"/>
      <c r="HU979" s="3"/>
      <c r="HV979" s="3"/>
      <c r="HW979" s="3"/>
      <c r="HX979" s="3"/>
      <c r="KL979"/>
      <c r="KN979"/>
      <c r="KO979"/>
      <c r="KP979"/>
      <c r="KQ979"/>
    </row>
    <row r="980" spans="227:303" x14ac:dyDescent="0.25">
      <c r="HS980" s="1"/>
      <c r="HU980" s="3"/>
      <c r="HV980" s="3"/>
      <c r="HW980" s="3"/>
      <c r="HX980" s="3"/>
      <c r="KL980"/>
      <c r="KN980"/>
      <c r="KO980"/>
      <c r="KP980"/>
      <c r="KQ980"/>
    </row>
    <row r="981" spans="227:303" x14ac:dyDescent="0.25">
      <c r="HS981" s="1"/>
      <c r="HU981" s="3"/>
      <c r="HV981" s="3"/>
      <c r="HW981" s="3"/>
      <c r="HX981" s="3"/>
      <c r="KL981"/>
      <c r="KN981"/>
      <c r="KO981"/>
      <c r="KP981"/>
      <c r="KQ981"/>
    </row>
    <row r="982" spans="227:303" x14ac:dyDescent="0.25">
      <c r="HS982" s="1"/>
      <c r="HU982" s="3"/>
      <c r="HV982" s="3"/>
      <c r="HW982" s="3"/>
      <c r="HX982" s="3"/>
      <c r="KL982"/>
      <c r="KN982"/>
      <c r="KO982"/>
      <c r="KP982"/>
      <c r="KQ982"/>
    </row>
    <row r="983" spans="227:303" x14ac:dyDescent="0.25">
      <c r="HS983" s="1"/>
      <c r="HU983" s="3"/>
      <c r="HV983" s="3"/>
      <c r="HW983" s="3"/>
      <c r="HX983" s="3"/>
      <c r="KL983"/>
      <c r="KN983"/>
      <c r="KO983"/>
      <c r="KP983"/>
      <c r="KQ983"/>
    </row>
    <row r="984" spans="227:303" x14ac:dyDescent="0.25">
      <c r="HS984" s="1"/>
      <c r="HU984" s="3"/>
      <c r="HV984" s="3"/>
      <c r="HW984" s="3"/>
      <c r="HX984" s="3"/>
      <c r="KL984"/>
      <c r="KN984"/>
      <c r="KO984"/>
      <c r="KP984"/>
      <c r="KQ984"/>
    </row>
    <row r="985" spans="227:303" x14ac:dyDescent="0.25">
      <c r="HS985" s="1"/>
      <c r="HU985" s="3"/>
      <c r="HV985" s="3"/>
      <c r="HW985" s="3"/>
      <c r="HX985" s="3"/>
      <c r="KL985"/>
      <c r="KN985"/>
      <c r="KO985"/>
      <c r="KP985"/>
      <c r="KQ985"/>
    </row>
    <row r="986" spans="227:303" x14ac:dyDescent="0.25">
      <c r="HS986" s="1"/>
      <c r="HU986" s="3"/>
      <c r="HV986" s="3"/>
      <c r="HW986" s="3"/>
      <c r="HX986" s="3"/>
      <c r="KL986"/>
      <c r="KN986"/>
      <c r="KO986"/>
      <c r="KP986"/>
      <c r="KQ986"/>
    </row>
    <row r="987" spans="227:303" x14ac:dyDescent="0.25">
      <c r="HS987" s="1"/>
      <c r="HU987" s="3"/>
      <c r="HV987" s="3"/>
      <c r="HW987" s="3"/>
      <c r="HX987" s="3"/>
      <c r="KL987"/>
      <c r="KN987"/>
      <c r="KO987"/>
      <c r="KP987"/>
      <c r="KQ987"/>
    </row>
    <row r="988" spans="227:303" x14ac:dyDescent="0.25">
      <c r="HS988" s="1"/>
      <c r="HU988" s="3"/>
      <c r="HV988" s="3"/>
      <c r="HW988" s="3"/>
      <c r="HX988" s="3"/>
      <c r="KL988"/>
      <c r="KN988"/>
      <c r="KO988"/>
      <c r="KP988"/>
      <c r="KQ988"/>
    </row>
    <row r="989" spans="227:303" x14ac:dyDescent="0.25">
      <c r="HS989" s="1"/>
      <c r="HU989" s="3"/>
      <c r="HV989" s="3"/>
      <c r="HW989" s="3"/>
      <c r="HX989" s="3"/>
      <c r="KL989"/>
      <c r="KN989"/>
      <c r="KO989"/>
      <c r="KP989"/>
      <c r="KQ989"/>
    </row>
    <row r="990" spans="227:303" x14ac:dyDescent="0.25">
      <c r="HS990" s="1"/>
      <c r="HU990" s="3"/>
      <c r="HV990" s="3"/>
      <c r="HW990" s="3"/>
      <c r="HX990" s="3"/>
      <c r="KL990"/>
      <c r="KN990"/>
      <c r="KO990"/>
      <c r="KP990"/>
      <c r="KQ990"/>
    </row>
    <row r="991" spans="227:303" x14ac:dyDescent="0.25">
      <c r="HS991" s="1"/>
      <c r="HU991" s="3"/>
      <c r="HV991" s="3"/>
      <c r="HW991" s="3"/>
      <c r="HX991" s="3"/>
      <c r="KL991"/>
      <c r="KN991"/>
      <c r="KO991"/>
      <c r="KP991"/>
      <c r="KQ991"/>
    </row>
    <row r="992" spans="227:303" x14ac:dyDescent="0.25">
      <c r="HS992" s="1"/>
      <c r="HU992" s="3"/>
      <c r="HV992" s="3"/>
      <c r="HW992" s="3"/>
      <c r="HX992" s="3"/>
      <c r="KL992"/>
      <c r="KN992"/>
      <c r="KO992"/>
      <c r="KP992"/>
      <c r="KQ992"/>
    </row>
    <row r="993" spans="227:303" x14ac:dyDescent="0.25">
      <c r="HS993" s="1"/>
      <c r="HU993" s="3"/>
      <c r="HV993" s="3"/>
      <c r="HW993" s="3"/>
      <c r="HX993" s="3"/>
      <c r="KL993"/>
      <c r="KN993"/>
      <c r="KO993"/>
      <c r="KP993"/>
      <c r="KQ993"/>
    </row>
    <row r="994" spans="227:303" x14ac:dyDescent="0.25">
      <c r="HS994" s="1"/>
      <c r="HU994" s="3"/>
      <c r="HV994" s="3"/>
      <c r="HW994" s="3"/>
      <c r="HX994" s="3"/>
      <c r="KL994"/>
      <c r="KN994"/>
      <c r="KO994"/>
      <c r="KP994"/>
      <c r="KQ994"/>
    </row>
    <row r="995" spans="227:303" x14ac:dyDescent="0.25">
      <c r="HS995" s="1"/>
      <c r="HU995" s="3"/>
      <c r="HV995" s="3"/>
      <c r="HW995" s="3"/>
      <c r="HX995" s="3"/>
      <c r="KL995"/>
      <c r="KN995"/>
      <c r="KO995"/>
      <c r="KP995"/>
      <c r="KQ995"/>
    </row>
    <row r="996" spans="227:303" x14ac:dyDescent="0.25">
      <c r="HS996" s="1"/>
      <c r="HU996" s="3"/>
      <c r="HV996" s="3"/>
      <c r="HW996" s="3"/>
      <c r="HX996" s="3"/>
      <c r="KL996"/>
      <c r="KN996"/>
      <c r="KO996"/>
      <c r="KP996"/>
      <c r="KQ996"/>
    </row>
    <row r="997" spans="227:303" x14ac:dyDescent="0.25">
      <c r="HS997" s="1"/>
      <c r="HU997" s="3"/>
      <c r="HV997" s="3"/>
      <c r="HW997" s="3"/>
      <c r="HX997" s="3"/>
      <c r="KL997"/>
      <c r="KN997"/>
      <c r="KO997"/>
      <c r="KP997"/>
      <c r="KQ997"/>
    </row>
    <row r="998" spans="227:303" x14ac:dyDescent="0.25">
      <c r="HS998" s="1"/>
      <c r="HU998" s="3"/>
      <c r="HV998" s="3"/>
      <c r="HW998" s="3"/>
      <c r="HX998" s="3"/>
      <c r="KL998"/>
      <c r="KN998"/>
      <c r="KO998"/>
      <c r="KP998"/>
      <c r="KQ998"/>
    </row>
    <row r="999" spans="227:303" x14ac:dyDescent="0.25">
      <c r="HS999" s="1"/>
      <c r="HU999" s="3"/>
      <c r="HV999" s="3"/>
      <c r="HW999" s="3"/>
      <c r="HX999" s="3"/>
      <c r="KL999"/>
      <c r="KN999"/>
      <c r="KO999"/>
      <c r="KP999"/>
      <c r="KQ999"/>
    </row>
    <row r="1000" spans="227:303" x14ac:dyDescent="0.25">
      <c r="HS1000" s="1"/>
      <c r="HU1000" s="3"/>
      <c r="HV1000" s="3"/>
      <c r="HW1000" s="3"/>
      <c r="HX1000" s="3"/>
      <c r="KL1000"/>
      <c r="KN1000"/>
      <c r="KO1000"/>
      <c r="KP1000"/>
      <c r="KQ1000"/>
    </row>
    <row r="1001" spans="227:303" x14ac:dyDescent="0.25">
      <c r="HS1001" s="1"/>
      <c r="HU1001" s="3"/>
      <c r="HV1001" s="3"/>
      <c r="HW1001" s="3"/>
      <c r="HX1001" s="3"/>
      <c r="KL1001"/>
      <c r="KN1001"/>
      <c r="KO1001"/>
      <c r="KP1001"/>
      <c r="KQ1001"/>
    </row>
    <row r="1002" spans="227:303" x14ac:dyDescent="0.25">
      <c r="HS1002" s="1"/>
      <c r="HU1002" s="3"/>
      <c r="HV1002" s="3"/>
      <c r="HW1002" s="3"/>
      <c r="HX1002" s="3"/>
      <c r="KL1002"/>
      <c r="KN1002"/>
      <c r="KO1002"/>
      <c r="KP1002"/>
      <c r="KQ1002"/>
    </row>
    <row r="1003" spans="227:303" x14ac:dyDescent="0.25">
      <c r="HS1003" s="1"/>
      <c r="HU1003" s="3"/>
      <c r="HV1003" s="3"/>
      <c r="HW1003" s="3"/>
      <c r="HX1003" s="3"/>
      <c r="KL1003"/>
      <c r="KN1003"/>
      <c r="KO1003"/>
      <c r="KP1003"/>
      <c r="KQ1003"/>
    </row>
    <row r="1004" spans="227:303" x14ac:dyDescent="0.25">
      <c r="HS1004" s="1"/>
      <c r="HU1004" s="3"/>
      <c r="HV1004" s="3"/>
      <c r="HW1004" s="3"/>
      <c r="HX1004" s="3"/>
      <c r="KL1004"/>
      <c r="KN1004"/>
      <c r="KO1004"/>
      <c r="KP1004"/>
      <c r="KQ1004"/>
    </row>
    <row r="1005" spans="227:303" x14ac:dyDescent="0.25">
      <c r="HS1005" s="1"/>
      <c r="HU1005" s="3"/>
      <c r="HV1005" s="3"/>
      <c r="HW1005" s="3"/>
      <c r="HX1005" s="3"/>
      <c r="KL1005"/>
      <c r="KN1005"/>
      <c r="KO1005"/>
      <c r="KP1005"/>
      <c r="KQ1005"/>
    </row>
    <row r="1006" spans="227:303" x14ac:dyDescent="0.25">
      <c r="HS1006" s="1"/>
      <c r="HU1006" s="3"/>
      <c r="HV1006" s="3"/>
      <c r="HW1006" s="3"/>
      <c r="HX1006" s="3"/>
      <c r="KL1006"/>
      <c r="KN1006"/>
      <c r="KO1006"/>
      <c r="KP1006"/>
      <c r="KQ1006"/>
    </row>
    <row r="1007" spans="227:303" x14ac:dyDescent="0.25">
      <c r="HS1007" s="1"/>
      <c r="HU1007" s="3"/>
      <c r="HV1007" s="3"/>
      <c r="HW1007" s="3"/>
      <c r="HX1007" s="3"/>
      <c r="KL1007"/>
      <c r="KN1007"/>
      <c r="KO1007"/>
      <c r="KP1007"/>
      <c r="KQ1007"/>
    </row>
    <row r="1008" spans="227:303" x14ac:dyDescent="0.25">
      <c r="HS1008" s="1"/>
      <c r="HU1008" s="3"/>
      <c r="HV1008" s="3"/>
      <c r="HW1008" s="3"/>
      <c r="HX1008" s="3"/>
      <c r="KL1008"/>
      <c r="KN1008"/>
      <c r="KO1008"/>
      <c r="KP1008"/>
      <c r="KQ1008"/>
    </row>
    <row r="1009" spans="227:303" x14ac:dyDescent="0.25">
      <c r="HS1009" s="1"/>
      <c r="HU1009" s="3"/>
      <c r="HV1009" s="3"/>
      <c r="HW1009" s="3"/>
      <c r="HX1009" s="3"/>
      <c r="KL1009"/>
      <c r="KN1009"/>
      <c r="KO1009"/>
      <c r="KP1009"/>
      <c r="KQ1009"/>
    </row>
    <row r="1010" spans="227:303" x14ac:dyDescent="0.25">
      <c r="HS1010" s="1"/>
      <c r="HU1010" s="3"/>
      <c r="HV1010" s="3"/>
      <c r="HW1010" s="3"/>
      <c r="HX1010" s="3"/>
      <c r="KL1010"/>
      <c r="KN1010"/>
      <c r="KO1010"/>
      <c r="KP1010"/>
      <c r="KQ1010"/>
    </row>
    <row r="1011" spans="227:303" x14ac:dyDescent="0.25">
      <c r="HS1011" s="1"/>
      <c r="HU1011" s="3"/>
      <c r="HV1011" s="3"/>
      <c r="HW1011" s="3"/>
      <c r="HX1011" s="3"/>
      <c r="KL1011"/>
      <c r="KN1011"/>
      <c r="KO1011"/>
      <c r="KP1011"/>
      <c r="KQ1011"/>
    </row>
    <row r="1012" spans="227:303" x14ac:dyDescent="0.25">
      <c r="HS1012" s="1"/>
      <c r="HU1012" s="3"/>
      <c r="HV1012" s="3"/>
      <c r="HW1012" s="3"/>
      <c r="HX1012" s="3"/>
      <c r="KL1012"/>
      <c r="KN1012"/>
      <c r="KO1012"/>
      <c r="KP1012"/>
      <c r="KQ1012"/>
    </row>
    <row r="1013" spans="227:303" x14ac:dyDescent="0.25">
      <c r="HS1013" s="1"/>
      <c r="HU1013" s="3"/>
      <c r="HV1013" s="3"/>
      <c r="HW1013" s="3"/>
      <c r="HX1013" s="3"/>
      <c r="KL1013"/>
      <c r="KN1013"/>
      <c r="KO1013"/>
      <c r="KP1013"/>
      <c r="KQ1013"/>
    </row>
    <row r="1014" spans="227:303" x14ac:dyDescent="0.25">
      <c r="HS1014" s="1"/>
      <c r="HU1014" s="3"/>
      <c r="HV1014" s="3"/>
      <c r="HW1014" s="3"/>
      <c r="HX1014" s="3"/>
      <c r="KL1014"/>
      <c r="KN1014"/>
      <c r="KO1014"/>
      <c r="KP1014"/>
      <c r="KQ1014"/>
    </row>
    <row r="1015" spans="227:303" x14ac:dyDescent="0.25">
      <c r="HS1015" s="1"/>
      <c r="HU1015" s="3"/>
      <c r="HV1015" s="3"/>
      <c r="HW1015" s="3"/>
      <c r="HX1015" s="3"/>
      <c r="KL1015"/>
      <c r="KN1015"/>
      <c r="KO1015"/>
      <c r="KP1015"/>
      <c r="KQ1015"/>
    </row>
    <row r="1016" spans="227:303" x14ac:dyDescent="0.25">
      <c r="HS1016" s="1"/>
      <c r="HU1016" s="3"/>
      <c r="HV1016" s="3"/>
      <c r="HW1016" s="3"/>
      <c r="HX1016" s="3"/>
      <c r="KL1016"/>
      <c r="KN1016"/>
      <c r="KO1016"/>
      <c r="KP1016"/>
      <c r="KQ1016"/>
    </row>
    <row r="1017" spans="227:303" x14ac:dyDescent="0.25">
      <c r="HS1017" s="1"/>
      <c r="HU1017" s="3"/>
      <c r="HV1017" s="3"/>
      <c r="HW1017" s="3"/>
      <c r="HX1017" s="3"/>
      <c r="KL1017"/>
      <c r="KN1017"/>
      <c r="KO1017"/>
      <c r="KP1017"/>
      <c r="KQ1017"/>
    </row>
    <row r="1018" spans="227:303" x14ac:dyDescent="0.25">
      <c r="HS1018" s="1"/>
      <c r="HU1018" s="3"/>
      <c r="HV1018" s="3"/>
      <c r="HW1018" s="3"/>
      <c r="HX1018" s="3"/>
      <c r="KL1018"/>
      <c r="KN1018"/>
      <c r="KO1018"/>
      <c r="KP1018"/>
      <c r="KQ1018"/>
    </row>
    <row r="1019" spans="227:303" x14ac:dyDescent="0.25">
      <c r="HS1019" s="1"/>
      <c r="HU1019" s="3"/>
      <c r="HV1019" s="3"/>
      <c r="HW1019" s="3"/>
      <c r="HX1019" s="3"/>
      <c r="KL1019"/>
      <c r="KN1019"/>
      <c r="KO1019"/>
      <c r="KP1019"/>
      <c r="KQ1019"/>
    </row>
    <row r="1020" spans="227:303" x14ac:dyDescent="0.25">
      <c r="HS1020" s="1"/>
      <c r="HU1020" s="3"/>
      <c r="HV1020" s="3"/>
      <c r="HW1020" s="3"/>
      <c r="HX1020" s="3"/>
      <c r="KL1020"/>
      <c r="KN1020"/>
      <c r="KO1020"/>
      <c r="KP1020"/>
      <c r="KQ1020"/>
    </row>
    <row r="1021" spans="227:303" x14ac:dyDescent="0.25">
      <c r="HS1021" s="1"/>
      <c r="HU1021" s="3"/>
      <c r="HV1021" s="3"/>
      <c r="HW1021" s="3"/>
      <c r="HX1021" s="3"/>
      <c r="KL1021"/>
      <c r="KN1021"/>
      <c r="KO1021"/>
      <c r="KP1021"/>
      <c r="KQ1021"/>
    </row>
    <row r="1022" spans="227:303" x14ac:dyDescent="0.25">
      <c r="HS1022" s="1"/>
      <c r="HU1022" s="3"/>
      <c r="HV1022" s="3"/>
      <c r="HW1022" s="3"/>
      <c r="HX1022" s="3"/>
      <c r="KL1022"/>
      <c r="KN1022"/>
      <c r="KO1022"/>
      <c r="KP1022"/>
      <c r="KQ1022"/>
    </row>
    <row r="1023" spans="227:303" x14ac:dyDescent="0.25">
      <c r="HS1023" s="1"/>
      <c r="HU1023" s="3"/>
      <c r="HV1023" s="3"/>
      <c r="HW1023" s="3"/>
      <c r="HX1023" s="3"/>
      <c r="KL1023"/>
      <c r="KN1023"/>
      <c r="KO1023"/>
      <c r="KP1023"/>
      <c r="KQ1023"/>
    </row>
    <row r="1024" spans="227:303" x14ac:dyDescent="0.25">
      <c r="HS1024" s="1"/>
      <c r="HU1024" s="3"/>
      <c r="HV1024" s="3"/>
      <c r="HW1024" s="3"/>
      <c r="HX1024" s="3"/>
      <c r="KL1024"/>
      <c r="KN1024"/>
      <c r="KO1024"/>
      <c r="KP1024"/>
      <c r="KQ1024"/>
    </row>
    <row r="1025" spans="227:303" x14ac:dyDescent="0.25">
      <c r="HS1025" s="1"/>
      <c r="HU1025" s="3"/>
      <c r="HV1025" s="3"/>
      <c r="HW1025" s="3"/>
      <c r="HX1025" s="3"/>
      <c r="KL1025"/>
      <c r="KN1025"/>
      <c r="KO1025"/>
      <c r="KP1025"/>
      <c r="KQ1025"/>
    </row>
    <row r="1026" spans="227:303" x14ac:dyDescent="0.25">
      <c r="HS1026" s="1"/>
      <c r="HU1026" s="3"/>
      <c r="HV1026" s="3"/>
      <c r="HW1026" s="3"/>
      <c r="HX1026" s="3"/>
      <c r="KL1026"/>
      <c r="KN1026"/>
      <c r="KO1026"/>
      <c r="KP1026"/>
      <c r="KQ1026"/>
    </row>
    <row r="1027" spans="227:303" x14ac:dyDescent="0.25">
      <c r="HS1027" s="1"/>
      <c r="HU1027" s="3"/>
      <c r="HV1027" s="3"/>
      <c r="HW1027" s="3"/>
      <c r="HX1027" s="3"/>
      <c r="KL1027"/>
      <c r="KN1027"/>
      <c r="KO1027"/>
      <c r="KP1027"/>
      <c r="KQ1027"/>
    </row>
    <row r="1028" spans="227:303" x14ac:dyDescent="0.25">
      <c r="HS1028" s="1"/>
      <c r="HU1028" s="3"/>
      <c r="HV1028" s="3"/>
      <c r="HW1028" s="3"/>
      <c r="HX1028" s="3"/>
      <c r="KL1028"/>
      <c r="KN1028"/>
      <c r="KO1028"/>
      <c r="KP1028"/>
      <c r="KQ1028"/>
    </row>
    <row r="1029" spans="227:303" x14ac:dyDescent="0.25">
      <c r="HS1029" s="1"/>
      <c r="HU1029" s="3"/>
      <c r="HV1029" s="3"/>
      <c r="HW1029" s="3"/>
      <c r="HX1029" s="3"/>
      <c r="KL1029"/>
      <c r="KN1029"/>
      <c r="KO1029"/>
      <c r="KP1029"/>
      <c r="KQ1029"/>
    </row>
    <row r="1030" spans="227:303" x14ac:dyDescent="0.25">
      <c r="HS1030" s="1"/>
      <c r="HU1030" s="3"/>
      <c r="HV1030" s="3"/>
      <c r="HW1030" s="3"/>
      <c r="HX1030" s="3"/>
      <c r="KL1030"/>
      <c r="KN1030"/>
      <c r="KO1030"/>
      <c r="KP1030"/>
      <c r="KQ1030"/>
    </row>
    <row r="1031" spans="227:303" x14ac:dyDescent="0.25">
      <c r="HS1031" s="1"/>
      <c r="HU1031" s="3"/>
      <c r="HV1031" s="3"/>
      <c r="HW1031" s="3"/>
      <c r="HX1031" s="3"/>
      <c r="KL1031"/>
      <c r="KN1031"/>
      <c r="KO1031"/>
      <c r="KP1031"/>
      <c r="KQ1031"/>
    </row>
    <row r="1032" spans="227:303" x14ac:dyDescent="0.25">
      <c r="HS1032" s="1"/>
      <c r="HU1032" s="3"/>
      <c r="HV1032" s="3"/>
      <c r="HW1032" s="3"/>
      <c r="HX1032" s="3"/>
      <c r="KL1032"/>
      <c r="KN1032"/>
      <c r="KO1032"/>
      <c r="KP1032"/>
      <c r="KQ1032"/>
    </row>
    <row r="1033" spans="227:303" x14ac:dyDescent="0.25">
      <c r="HS1033" s="1"/>
      <c r="HU1033" s="3"/>
      <c r="HV1033" s="3"/>
      <c r="HW1033" s="3"/>
      <c r="HX1033" s="3"/>
      <c r="KL1033"/>
      <c r="KN1033"/>
      <c r="KO1033"/>
      <c r="KP1033"/>
      <c r="KQ1033"/>
    </row>
    <row r="1034" spans="227:303" x14ac:dyDescent="0.25">
      <c r="HS1034" s="1"/>
      <c r="HU1034" s="3"/>
      <c r="HV1034" s="3"/>
      <c r="HW1034" s="3"/>
      <c r="HX1034" s="3"/>
      <c r="KL1034"/>
      <c r="KN1034"/>
      <c r="KO1034"/>
      <c r="KP1034"/>
      <c r="KQ1034"/>
    </row>
    <row r="1035" spans="227:303" x14ac:dyDescent="0.25">
      <c r="HS1035" s="1"/>
      <c r="HU1035" s="3"/>
      <c r="HV1035" s="3"/>
      <c r="HW1035" s="3"/>
      <c r="HX1035" s="3"/>
      <c r="KL1035"/>
      <c r="KN1035"/>
      <c r="KO1035"/>
      <c r="KP1035"/>
      <c r="KQ1035"/>
    </row>
    <row r="1036" spans="227:303" x14ac:dyDescent="0.25">
      <c r="HS1036" s="1"/>
      <c r="HU1036" s="3"/>
      <c r="HV1036" s="3"/>
      <c r="HW1036" s="3"/>
      <c r="HX1036" s="3"/>
      <c r="KL1036"/>
      <c r="KN1036"/>
      <c r="KO1036"/>
      <c r="KP1036"/>
      <c r="KQ1036"/>
    </row>
    <row r="1037" spans="227:303" x14ac:dyDescent="0.25">
      <c r="HS1037" s="1"/>
      <c r="HU1037" s="3"/>
      <c r="HV1037" s="3"/>
      <c r="HW1037" s="3"/>
      <c r="HX1037" s="3"/>
      <c r="KL1037"/>
      <c r="KN1037"/>
      <c r="KO1037"/>
      <c r="KP1037"/>
      <c r="KQ1037"/>
    </row>
    <row r="1038" spans="227:303" x14ac:dyDescent="0.25">
      <c r="HS1038" s="1"/>
      <c r="HU1038" s="3"/>
      <c r="HV1038" s="3"/>
      <c r="HW1038" s="3"/>
      <c r="HX1038" s="3"/>
      <c r="KL1038"/>
      <c r="KN1038"/>
      <c r="KO1038"/>
      <c r="KP1038"/>
      <c r="KQ1038"/>
    </row>
    <row r="1039" spans="227:303" x14ac:dyDescent="0.25">
      <c r="HS1039" s="1"/>
      <c r="HU1039" s="3"/>
      <c r="HV1039" s="3"/>
      <c r="HW1039" s="3"/>
      <c r="HX1039" s="3"/>
      <c r="KL1039"/>
      <c r="KN1039"/>
      <c r="KO1039"/>
      <c r="KP1039"/>
      <c r="KQ1039"/>
    </row>
    <row r="1040" spans="227:303" x14ac:dyDescent="0.25">
      <c r="HS1040" s="1"/>
      <c r="HU1040" s="3"/>
      <c r="HV1040" s="3"/>
      <c r="HW1040" s="3"/>
      <c r="HX1040" s="3"/>
      <c r="KL1040"/>
      <c r="KN1040"/>
      <c r="KO1040"/>
      <c r="KP1040"/>
      <c r="KQ1040"/>
    </row>
    <row r="1041" spans="227:303" x14ac:dyDescent="0.25">
      <c r="HS1041" s="1"/>
      <c r="HU1041" s="3"/>
      <c r="HV1041" s="3"/>
      <c r="HW1041" s="3"/>
      <c r="HX1041" s="3"/>
      <c r="KL1041"/>
      <c r="KN1041"/>
      <c r="KO1041"/>
      <c r="KP1041"/>
      <c r="KQ1041"/>
    </row>
    <row r="1042" spans="227:303" x14ac:dyDescent="0.25">
      <c r="HS1042" s="1"/>
      <c r="HU1042" s="3"/>
      <c r="HV1042" s="3"/>
      <c r="HW1042" s="3"/>
      <c r="HX1042" s="3"/>
      <c r="KL1042"/>
      <c r="KN1042"/>
      <c r="KO1042"/>
      <c r="KP1042"/>
      <c r="KQ1042"/>
    </row>
    <row r="1043" spans="227:303" x14ac:dyDescent="0.25">
      <c r="HS1043" s="1"/>
      <c r="HU1043" s="3"/>
      <c r="HV1043" s="3"/>
      <c r="HW1043" s="3"/>
      <c r="HX1043" s="3"/>
      <c r="KL1043"/>
      <c r="KN1043"/>
      <c r="KO1043"/>
      <c r="KP1043"/>
      <c r="KQ1043"/>
    </row>
    <row r="1044" spans="227:303" x14ac:dyDescent="0.25">
      <c r="HS1044" s="1"/>
      <c r="HU1044" s="3"/>
      <c r="HV1044" s="3"/>
      <c r="HW1044" s="3"/>
      <c r="HX1044" s="3"/>
      <c r="KL1044"/>
      <c r="KN1044"/>
      <c r="KO1044"/>
      <c r="KP1044"/>
      <c r="KQ1044"/>
    </row>
    <row r="1045" spans="227:303" x14ac:dyDescent="0.25">
      <c r="HS1045" s="1"/>
      <c r="HU1045" s="3"/>
      <c r="HV1045" s="3"/>
      <c r="HW1045" s="3"/>
      <c r="HX1045" s="3"/>
      <c r="KL1045"/>
      <c r="KN1045"/>
      <c r="KO1045"/>
      <c r="KP1045"/>
      <c r="KQ1045"/>
    </row>
    <row r="1046" spans="227:303" x14ac:dyDescent="0.25">
      <c r="HS1046" s="1"/>
      <c r="HU1046" s="3"/>
      <c r="HV1046" s="3"/>
      <c r="HW1046" s="3"/>
      <c r="HX1046" s="3"/>
      <c r="KL1046"/>
      <c r="KN1046"/>
      <c r="KO1046"/>
      <c r="KP1046"/>
      <c r="KQ1046"/>
    </row>
    <row r="1047" spans="227:303" x14ac:dyDescent="0.25">
      <c r="HS1047" s="1"/>
      <c r="HU1047" s="3"/>
      <c r="HV1047" s="3"/>
      <c r="HW1047" s="3"/>
      <c r="HX1047" s="3"/>
      <c r="KL1047"/>
      <c r="KN1047"/>
      <c r="KO1047"/>
      <c r="KP1047"/>
      <c r="KQ1047"/>
    </row>
    <row r="1048" spans="227:303" x14ac:dyDescent="0.25">
      <c r="HS1048" s="1"/>
      <c r="HU1048" s="3"/>
      <c r="HV1048" s="3"/>
      <c r="HW1048" s="3"/>
      <c r="HX1048" s="3"/>
      <c r="KL1048"/>
      <c r="KN1048"/>
      <c r="KO1048"/>
      <c r="KP1048"/>
      <c r="KQ1048"/>
    </row>
    <row r="1049" spans="227:303" x14ac:dyDescent="0.25">
      <c r="HS1049" s="1"/>
      <c r="HU1049" s="3"/>
      <c r="HV1049" s="3"/>
      <c r="HW1049" s="3"/>
      <c r="HX1049" s="3"/>
      <c r="KL1049"/>
      <c r="KN1049"/>
      <c r="KO1049"/>
      <c r="KP1049"/>
      <c r="KQ1049"/>
    </row>
    <row r="1050" spans="227:303" x14ac:dyDescent="0.25">
      <c r="HS1050" s="1"/>
      <c r="HU1050" s="3"/>
      <c r="HV1050" s="3"/>
      <c r="HW1050" s="3"/>
      <c r="HX1050" s="3"/>
      <c r="KL1050"/>
      <c r="KN1050"/>
      <c r="KO1050"/>
      <c r="KP1050"/>
      <c r="KQ1050"/>
    </row>
    <row r="1051" spans="227:303" x14ac:dyDescent="0.25">
      <c r="HS1051" s="1"/>
      <c r="HU1051" s="3"/>
      <c r="HV1051" s="3"/>
      <c r="HW1051" s="3"/>
      <c r="HX1051" s="3"/>
      <c r="KL1051"/>
      <c r="KN1051"/>
      <c r="KO1051"/>
      <c r="KP1051"/>
      <c r="KQ1051"/>
    </row>
    <row r="1052" spans="227:303" x14ac:dyDescent="0.25">
      <c r="HS1052" s="1"/>
      <c r="HU1052" s="3"/>
      <c r="HV1052" s="3"/>
      <c r="HW1052" s="3"/>
      <c r="HX1052" s="3"/>
      <c r="KL1052"/>
      <c r="KN1052"/>
      <c r="KO1052"/>
      <c r="KP1052"/>
      <c r="KQ1052"/>
    </row>
    <row r="1053" spans="227:303" x14ac:dyDescent="0.25">
      <c r="HS1053" s="1"/>
      <c r="HU1053" s="3"/>
      <c r="HV1053" s="3"/>
      <c r="HW1053" s="3"/>
      <c r="HX1053" s="3"/>
      <c r="KL1053"/>
      <c r="KN1053"/>
      <c r="KO1053"/>
      <c r="KP1053"/>
      <c r="KQ1053"/>
    </row>
    <row r="1054" spans="227:303" x14ac:dyDescent="0.25">
      <c r="HS1054" s="1"/>
      <c r="HU1054" s="3"/>
      <c r="HV1054" s="3"/>
      <c r="HW1054" s="3"/>
      <c r="HX1054" s="3"/>
      <c r="KL1054"/>
      <c r="KN1054"/>
      <c r="KO1054"/>
      <c r="KP1054"/>
      <c r="KQ1054"/>
    </row>
    <row r="1055" spans="227:303" x14ac:dyDescent="0.25">
      <c r="HS1055" s="1"/>
      <c r="HU1055" s="3"/>
      <c r="HV1055" s="3"/>
      <c r="HW1055" s="3"/>
      <c r="HX1055" s="3"/>
      <c r="KL1055"/>
      <c r="KN1055"/>
      <c r="KO1055"/>
      <c r="KP1055"/>
      <c r="KQ1055"/>
    </row>
    <row r="1056" spans="227:303" x14ac:dyDescent="0.25">
      <c r="HS1056" s="1"/>
      <c r="HU1056" s="3"/>
      <c r="HV1056" s="3"/>
      <c r="HW1056" s="3"/>
      <c r="HX1056" s="3"/>
      <c r="KL1056"/>
      <c r="KN1056"/>
      <c r="KO1056"/>
      <c r="KP1056"/>
      <c r="KQ1056"/>
    </row>
    <row r="1057" spans="227:303" x14ac:dyDescent="0.25">
      <c r="HS1057" s="1"/>
      <c r="HU1057" s="3"/>
      <c r="HV1057" s="3"/>
      <c r="HW1057" s="3"/>
      <c r="HX1057" s="3"/>
      <c r="KL1057"/>
      <c r="KN1057"/>
      <c r="KO1057"/>
      <c r="KP1057"/>
      <c r="KQ1057"/>
    </row>
    <row r="1058" spans="227:303" x14ac:dyDescent="0.25">
      <c r="HS1058" s="1"/>
      <c r="HU1058" s="3"/>
      <c r="HV1058" s="3"/>
      <c r="HW1058" s="3"/>
      <c r="HX1058" s="3"/>
      <c r="KL1058"/>
      <c r="KN1058"/>
      <c r="KO1058"/>
      <c r="KP1058"/>
      <c r="KQ1058"/>
    </row>
    <row r="1059" spans="227:303" x14ac:dyDescent="0.25">
      <c r="HS1059" s="1"/>
      <c r="HU1059" s="3"/>
      <c r="HV1059" s="3"/>
      <c r="HW1059" s="3"/>
      <c r="HX1059" s="3"/>
      <c r="KL1059"/>
      <c r="KN1059"/>
      <c r="KO1059"/>
      <c r="KP1059"/>
      <c r="KQ1059"/>
    </row>
    <row r="1060" spans="227:303" x14ac:dyDescent="0.25">
      <c r="HS1060" s="1"/>
      <c r="HU1060" s="3"/>
      <c r="HV1060" s="3"/>
      <c r="HW1060" s="3"/>
      <c r="HX1060" s="3"/>
      <c r="KL1060"/>
      <c r="KN1060"/>
      <c r="KO1060"/>
      <c r="KP1060"/>
      <c r="KQ1060"/>
    </row>
    <row r="1061" spans="227:303" x14ac:dyDescent="0.25">
      <c r="HS1061" s="1"/>
      <c r="HU1061" s="3"/>
      <c r="HV1061" s="3"/>
      <c r="HW1061" s="3"/>
      <c r="HX1061" s="3"/>
      <c r="KL1061"/>
      <c r="KN1061"/>
      <c r="KO1061"/>
      <c r="KP1061"/>
      <c r="KQ1061"/>
    </row>
    <row r="1062" spans="227:303" x14ac:dyDescent="0.25">
      <c r="HS1062" s="1"/>
      <c r="HU1062" s="3"/>
      <c r="HV1062" s="3"/>
      <c r="HW1062" s="3"/>
      <c r="HX1062" s="3"/>
      <c r="KL1062"/>
      <c r="KN1062"/>
      <c r="KO1062"/>
      <c r="KP1062"/>
      <c r="KQ1062"/>
    </row>
    <row r="1063" spans="227:303" x14ac:dyDescent="0.25">
      <c r="HS1063" s="1"/>
      <c r="HU1063" s="3"/>
      <c r="HV1063" s="3"/>
      <c r="HW1063" s="3"/>
      <c r="HX1063" s="3"/>
      <c r="KL1063"/>
      <c r="KN1063"/>
      <c r="KO1063"/>
      <c r="KP1063"/>
      <c r="KQ1063"/>
    </row>
    <row r="1064" spans="227:303" x14ac:dyDescent="0.25">
      <c r="HS1064" s="1"/>
      <c r="HU1064" s="3"/>
      <c r="HV1064" s="3"/>
      <c r="HW1064" s="3"/>
      <c r="HX1064" s="3"/>
      <c r="KL1064"/>
      <c r="KN1064"/>
      <c r="KO1064"/>
      <c r="KP1064"/>
      <c r="KQ1064"/>
    </row>
    <row r="1065" spans="227:303" x14ac:dyDescent="0.25">
      <c r="HS1065" s="1"/>
      <c r="HU1065" s="3"/>
      <c r="HV1065" s="3"/>
      <c r="HW1065" s="3"/>
      <c r="HX1065" s="3"/>
      <c r="KL1065"/>
      <c r="KN1065"/>
      <c r="KO1065"/>
      <c r="KP1065"/>
      <c r="KQ1065"/>
    </row>
    <row r="1066" spans="227:303" x14ac:dyDescent="0.25">
      <c r="HS1066" s="1"/>
      <c r="HU1066" s="3"/>
      <c r="HV1066" s="3"/>
      <c r="HW1066" s="3"/>
      <c r="HX1066" s="3"/>
      <c r="KL1066"/>
      <c r="KN1066"/>
      <c r="KO1066"/>
      <c r="KP1066"/>
      <c r="KQ1066"/>
    </row>
    <row r="1067" spans="227:303" x14ac:dyDescent="0.25">
      <c r="HS1067" s="1"/>
      <c r="HU1067" s="3"/>
      <c r="HV1067" s="3"/>
      <c r="HW1067" s="3"/>
      <c r="HX1067" s="3"/>
      <c r="KL1067"/>
      <c r="KN1067"/>
      <c r="KO1067"/>
      <c r="KP1067"/>
      <c r="KQ1067"/>
    </row>
    <row r="1068" spans="227:303" x14ac:dyDescent="0.25">
      <c r="HS1068" s="1"/>
      <c r="HU1068" s="3"/>
      <c r="HV1068" s="3"/>
      <c r="HW1068" s="3"/>
      <c r="HX1068" s="3"/>
      <c r="KL1068"/>
      <c r="KN1068"/>
      <c r="KO1068"/>
      <c r="KP1068"/>
      <c r="KQ1068"/>
    </row>
    <row r="1069" spans="227:303" x14ac:dyDescent="0.25">
      <c r="HS1069" s="1"/>
      <c r="HU1069" s="3"/>
      <c r="HV1069" s="3"/>
      <c r="HW1069" s="3"/>
      <c r="HX1069" s="3"/>
      <c r="KL1069"/>
      <c r="KN1069"/>
      <c r="KO1069"/>
      <c r="KP1069"/>
      <c r="KQ1069"/>
    </row>
    <row r="1070" spans="227:303" x14ac:dyDescent="0.25">
      <c r="HS1070" s="1"/>
      <c r="HU1070" s="3"/>
      <c r="HV1070" s="3"/>
      <c r="HW1070" s="3"/>
      <c r="HX1070" s="3"/>
      <c r="KL1070"/>
      <c r="KN1070"/>
      <c r="KO1070"/>
      <c r="KP1070"/>
      <c r="KQ1070"/>
    </row>
    <row r="1071" spans="227:303" x14ac:dyDescent="0.25">
      <c r="HS1071" s="1"/>
      <c r="HU1071" s="3"/>
      <c r="HV1071" s="3"/>
      <c r="HW1071" s="3"/>
      <c r="HX1071" s="3"/>
      <c r="KL1071"/>
      <c r="KN1071"/>
      <c r="KO1071"/>
      <c r="KP1071"/>
      <c r="KQ1071"/>
    </row>
    <row r="1072" spans="227:303" x14ac:dyDescent="0.25">
      <c r="HS1072" s="1"/>
      <c r="HU1072" s="3"/>
      <c r="HV1072" s="3"/>
      <c r="HW1072" s="3"/>
      <c r="HX1072" s="3"/>
      <c r="KL1072"/>
      <c r="KN1072"/>
      <c r="KO1072"/>
      <c r="KP1072"/>
      <c r="KQ1072"/>
    </row>
    <row r="1073" spans="227:303" x14ac:dyDescent="0.25">
      <c r="HS1073" s="1"/>
      <c r="HU1073" s="3"/>
      <c r="HV1073" s="3"/>
      <c r="HW1073" s="3"/>
      <c r="HX1073" s="3"/>
      <c r="KL1073"/>
      <c r="KN1073"/>
      <c r="KO1073"/>
      <c r="KP1073"/>
      <c r="KQ1073"/>
    </row>
    <row r="1074" spans="227:303" x14ac:dyDescent="0.25">
      <c r="HS1074" s="1"/>
      <c r="HU1074" s="3"/>
      <c r="HV1074" s="3"/>
      <c r="HW1074" s="3"/>
      <c r="HX1074" s="3"/>
      <c r="KL1074"/>
      <c r="KN1074"/>
      <c r="KO1074"/>
      <c r="KP1074"/>
      <c r="KQ1074"/>
    </row>
    <row r="1075" spans="227:303" x14ac:dyDescent="0.25">
      <c r="HS1075" s="1"/>
      <c r="HU1075" s="3"/>
      <c r="HV1075" s="3"/>
      <c r="HW1075" s="3"/>
      <c r="HX1075" s="3"/>
      <c r="KL1075"/>
      <c r="KN1075"/>
      <c r="KO1075"/>
      <c r="KP1075"/>
      <c r="KQ1075"/>
    </row>
    <row r="1076" spans="227:303" x14ac:dyDescent="0.25">
      <c r="HS1076" s="1"/>
      <c r="HU1076" s="3"/>
      <c r="HV1076" s="3"/>
      <c r="HW1076" s="3"/>
      <c r="HX1076" s="3"/>
      <c r="KL1076"/>
      <c r="KN1076"/>
      <c r="KO1076"/>
      <c r="KP1076"/>
      <c r="KQ1076"/>
    </row>
    <row r="1077" spans="227:303" x14ac:dyDescent="0.25">
      <c r="HS1077" s="1"/>
      <c r="HU1077" s="3"/>
      <c r="HV1077" s="3"/>
      <c r="HW1077" s="3"/>
      <c r="HX1077" s="3"/>
      <c r="KL1077"/>
      <c r="KN1077"/>
      <c r="KO1077"/>
      <c r="KP1077"/>
      <c r="KQ1077"/>
    </row>
    <row r="1078" spans="227:303" x14ac:dyDescent="0.25">
      <c r="HS1078" s="1"/>
      <c r="HU1078" s="3"/>
      <c r="HV1078" s="3"/>
      <c r="HW1078" s="3"/>
      <c r="HX1078" s="3"/>
      <c r="KL1078"/>
      <c r="KN1078"/>
      <c r="KO1078"/>
      <c r="KP1078"/>
      <c r="KQ1078"/>
    </row>
    <row r="1079" spans="227:303" x14ac:dyDescent="0.25">
      <c r="HS1079" s="1"/>
      <c r="HU1079" s="3"/>
      <c r="HV1079" s="3"/>
      <c r="HW1079" s="3"/>
      <c r="HX1079" s="3"/>
      <c r="KL1079"/>
      <c r="KN1079"/>
      <c r="KO1079"/>
      <c r="KP1079"/>
      <c r="KQ1079"/>
    </row>
    <row r="1080" spans="227:303" x14ac:dyDescent="0.25">
      <c r="HS1080" s="1"/>
      <c r="HU1080" s="3"/>
      <c r="HV1080" s="3"/>
      <c r="HW1080" s="3"/>
      <c r="HX1080" s="3"/>
      <c r="KL1080"/>
      <c r="KN1080"/>
      <c r="KO1080"/>
      <c r="KP1080"/>
      <c r="KQ1080"/>
    </row>
    <row r="1081" spans="227:303" x14ac:dyDescent="0.25">
      <c r="HS1081" s="1"/>
      <c r="HU1081" s="3"/>
      <c r="HV1081" s="3"/>
      <c r="HW1081" s="3"/>
      <c r="HX1081" s="3"/>
      <c r="KL1081"/>
      <c r="KN1081"/>
      <c r="KO1081"/>
      <c r="KP1081"/>
      <c r="KQ1081"/>
    </row>
    <row r="1082" spans="227:303" x14ac:dyDescent="0.25">
      <c r="HS1082" s="1"/>
      <c r="HU1082" s="3"/>
      <c r="HV1082" s="3"/>
      <c r="HW1082" s="3"/>
      <c r="HX1082" s="3"/>
      <c r="KL1082"/>
      <c r="KN1082"/>
      <c r="KO1082"/>
      <c r="KP1082"/>
      <c r="KQ1082"/>
    </row>
    <row r="1083" spans="227:303" x14ac:dyDescent="0.25">
      <c r="HS1083" s="1"/>
      <c r="HU1083" s="3"/>
      <c r="HV1083" s="3"/>
      <c r="HW1083" s="3"/>
      <c r="HX1083" s="3"/>
      <c r="KL1083"/>
      <c r="KN1083"/>
      <c r="KO1083"/>
      <c r="KP1083"/>
      <c r="KQ1083"/>
    </row>
    <row r="1084" spans="227:303" x14ac:dyDescent="0.25">
      <c r="HS1084" s="1"/>
      <c r="HU1084" s="3"/>
      <c r="HV1084" s="3"/>
      <c r="HW1084" s="3"/>
      <c r="HX1084" s="3"/>
      <c r="KL1084"/>
      <c r="KN1084"/>
      <c r="KO1084"/>
      <c r="KP1084"/>
      <c r="KQ1084"/>
    </row>
    <row r="1085" spans="227:303" x14ac:dyDescent="0.25">
      <c r="HS1085" s="1"/>
      <c r="HU1085" s="3"/>
      <c r="HV1085" s="3"/>
      <c r="HW1085" s="3"/>
      <c r="HX1085" s="3"/>
      <c r="KL1085"/>
      <c r="KN1085"/>
      <c r="KO1085"/>
      <c r="KP1085"/>
      <c r="KQ1085"/>
    </row>
    <row r="1086" spans="227:303" x14ac:dyDescent="0.25">
      <c r="HS1086" s="1"/>
      <c r="HU1086" s="3"/>
      <c r="HV1086" s="3"/>
      <c r="HW1086" s="3"/>
      <c r="HX1086" s="3"/>
      <c r="KL1086"/>
      <c r="KN1086"/>
      <c r="KO1086"/>
      <c r="KP1086"/>
      <c r="KQ1086"/>
    </row>
    <row r="1087" spans="227:303" x14ac:dyDescent="0.25">
      <c r="HS1087" s="1"/>
      <c r="HU1087" s="3"/>
      <c r="HV1087" s="3"/>
      <c r="HW1087" s="3"/>
      <c r="HX1087" s="3"/>
      <c r="KL1087"/>
      <c r="KN1087"/>
      <c r="KO1087"/>
      <c r="KP1087"/>
      <c r="KQ1087"/>
    </row>
    <row r="1088" spans="227:303" x14ac:dyDescent="0.25">
      <c r="HS1088" s="1"/>
      <c r="HU1088" s="3"/>
      <c r="HV1088" s="3"/>
      <c r="HW1088" s="3"/>
      <c r="HX1088" s="3"/>
      <c r="KL1088"/>
      <c r="KN1088"/>
      <c r="KO1088"/>
      <c r="KP1088"/>
      <c r="KQ1088"/>
    </row>
    <row r="1089" spans="227:303" x14ac:dyDescent="0.25">
      <c r="HS1089" s="1"/>
      <c r="HU1089" s="3"/>
      <c r="HV1089" s="3"/>
      <c r="HW1089" s="3"/>
      <c r="HX1089" s="3"/>
      <c r="KL1089"/>
      <c r="KN1089"/>
      <c r="KO1089"/>
      <c r="KP1089"/>
      <c r="KQ1089"/>
    </row>
    <row r="1090" spans="227:303" x14ac:dyDescent="0.25">
      <c r="HS1090" s="1"/>
      <c r="HU1090" s="3"/>
      <c r="HV1090" s="3"/>
      <c r="HW1090" s="3"/>
      <c r="HX1090" s="3"/>
      <c r="KL1090"/>
      <c r="KN1090"/>
      <c r="KO1090"/>
      <c r="KP1090"/>
      <c r="KQ1090"/>
    </row>
    <row r="1091" spans="227:303" x14ac:dyDescent="0.25">
      <c r="HS1091" s="1"/>
      <c r="HU1091" s="3"/>
      <c r="HV1091" s="3"/>
      <c r="HW1091" s="3"/>
      <c r="HX1091" s="3"/>
      <c r="KL1091"/>
      <c r="KN1091"/>
      <c r="KO1091"/>
      <c r="KP1091"/>
      <c r="KQ1091"/>
    </row>
    <row r="1092" spans="227:303" x14ac:dyDescent="0.25">
      <c r="HS1092" s="1"/>
      <c r="HU1092" s="3"/>
      <c r="HV1092" s="3"/>
      <c r="HW1092" s="3"/>
      <c r="HX1092" s="3"/>
      <c r="KL1092"/>
      <c r="KN1092"/>
      <c r="KO1092"/>
      <c r="KP1092"/>
      <c r="KQ1092"/>
    </row>
    <row r="1093" spans="227:303" x14ac:dyDescent="0.25">
      <c r="HS1093" s="1"/>
      <c r="HU1093" s="3"/>
      <c r="HV1093" s="3"/>
      <c r="HW1093" s="3"/>
      <c r="HX1093" s="3"/>
      <c r="KL1093"/>
      <c r="KN1093"/>
      <c r="KO1093"/>
      <c r="KP1093"/>
      <c r="KQ1093"/>
    </row>
    <row r="1094" spans="227:303" x14ac:dyDescent="0.25">
      <c r="HS1094" s="1"/>
      <c r="HU1094" s="3"/>
      <c r="HV1094" s="3"/>
      <c r="HW1094" s="3"/>
      <c r="HX1094" s="3"/>
      <c r="KL1094"/>
      <c r="KN1094"/>
      <c r="KO1094"/>
      <c r="KP1094"/>
      <c r="KQ1094"/>
    </row>
    <row r="1095" spans="227:303" x14ac:dyDescent="0.25">
      <c r="HS1095" s="1"/>
      <c r="HU1095" s="3"/>
      <c r="HV1095" s="3"/>
      <c r="HW1095" s="3"/>
      <c r="HX1095" s="3"/>
      <c r="KL1095"/>
      <c r="KN1095"/>
      <c r="KO1095"/>
      <c r="KP1095"/>
      <c r="KQ1095"/>
    </row>
    <row r="1096" spans="227:303" x14ac:dyDescent="0.25">
      <c r="HS1096" s="1"/>
      <c r="HU1096" s="3"/>
      <c r="HV1096" s="3"/>
      <c r="HW1096" s="3"/>
      <c r="HX1096" s="3"/>
      <c r="KL1096"/>
      <c r="KN1096"/>
      <c r="KO1096"/>
      <c r="KP1096"/>
      <c r="KQ1096"/>
    </row>
    <row r="1097" spans="227:303" x14ac:dyDescent="0.25">
      <c r="HS1097" s="1"/>
      <c r="HU1097" s="3"/>
      <c r="HV1097" s="3"/>
      <c r="HW1097" s="3"/>
      <c r="HX1097" s="3"/>
      <c r="KL1097"/>
      <c r="KN1097"/>
      <c r="KO1097"/>
      <c r="KP1097"/>
      <c r="KQ1097"/>
    </row>
    <row r="1098" spans="227:303" x14ac:dyDescent="0.25">
      <c r="HS1098" s="1"/>
      <c r="HU1098" s="3"/>
      <c r="HV1098" s="3"/>
      <c r="HW1098" s="3"/>
      <c r="HX1098" s="3"/>
      <c r="KL1098"/>
      <c r="KN1098"/>
      <c r="KO1098"/>
      <c r="KP1098"/>
      <c r="KQ1098"/>
    </row>
    <row r="1099" spans="227:303" x14ac:dyDescent="0.25">
      <c r="HS1099" s="1"/>
      <c r="HU1099" s="3"/>
      <c r="HV1099" s="3"/>
      <c r="HW1099" s="3"/>
      <c r="HX1099" s="3"/>
      <c r="KL1099"/>
      <c r="KN1099"/>
      <c r="KO1099"/>
      <c r="KP1099"/>
      <c r="KQ1099"/>
    </row>
    <row r="1100" spans="227:303" x14ac:dyDescent="0.25">
      <c r="HS1100" s="1"/>
      <c r="HU1100" s="3"/>
      <c r="HV1100" s="3"/>
      <c r="HW1100" s="3"/>
      <c r="HX1100" s="3"/>
      <c r="KL1100"/>
      <c r="KN1100"/>
      <c r="KO1100"/>
      <c r="KP1100"/>
      <c r="KQ1100"/>
    </row>
    <row r="1101" spans="227:303" x14ac:dyDescent="0.25">
      <c r="HS1101" s="1"/>
      <c r="HU1101" s="3"/>
      <c r="HV1101" s="3"/>
      <c r="HW1101" s="3"/>
      <c r="HX1101" s="3"/>
      <c r="KL1101"/>
      <c r="KN1101"/>
      <c r="KO1101"/>
      <c r="KP1101"/>
      <c r="KQ1101"/>
    </row>
    <row r="1102" spans="227:303" x14ac:dyDescent="0.25">
      <c r="HS1102" s="1"/>
      <c r="HU1102" s="3"/>
      <c r="HV1102" s="3"/>
      <c r="HW1102" s="3"/>
      <c r="HX1102" s="3"/>
      <c r="KL1102"/>
      <c r="KN1102"/>
      <c r="KO1102"/>
      <c r="KP1102"/>
      <c r="KQ1102"/>
    </row>
    <row r="1103" spans="227:303" x14ac:dyDescent="0.25">
      <c r="HS1103" s="1"/>
      <c r="HU1103" s="3"/>
      <c r="HV1103" s="3"/>
      <c r="HW1103" s="3"/>
      <c r="HX1103" s="3"/>
      <c r="KL1103"/>
      <c r="KN1103"/>
      <c r="KO1103"/>
      <c r="KP1103"/>
      <c r="KQ1103"/>
    </row>
    <row r="1104" spans="227:303" x14ac:dyDescent="0.25">
      <c r="HS1104" s="1"/>
      <c r="HU1104" s="3"/>
      <c r="HV1104" s="3"/>
      <c r="HW1104" s="3"/>
      <c r="HX1104" s="3"/>
      <c r="KL1104"/>
      <c r="KN1104"/>
      <c r="KO1104"/>
      <c r="KP1104"/>
      <c r="KQ1104"/>
    </row>
    <row r="1105" spans="227:303" x14ac:dyDescent="0.25">
      <c r="HS1105" s="1"/>
      <c r="HU1105" s="3"/>
      <c r="HV1105" s="3"/>
      <c r="HW1105" s="3"/>
      <c r="HX1105" s="3"/>
      <c r="KL1105"/>
      <c r="KN1105"/>
      <c r="KO1105"/>
      <c r="KP1105"/>
      <c r="KQ1105"/>
    </row>
    <row r="1106" spans="227:303" x14ac:dyDescent="0.25">
      <c r="HS1106" s="1"/>
      <c r="HU1106" s="3"/>
      <c r="HV1106" s="3"/>
      <c r="HW1106" s="3"/>
      <c r="HX1106" s="3"/>
      <c r="KL1106"/>
      <c r="KN1106"/>
      <c r="KO1106"/>
      <c r="KP1106"/>
      <c r="KQ1106"/>
    </row>
    <row r="1107" spans="227:303" x14ac:dyDescent="0.25">
      <c r="HS1107" s="1"/>
      <c r="HU1107" s="3"/>
      <c r="HV1107" s="3"/>
      <c r="HW1107" s="3"/>
      <c r="HX1107" s="3"/>
      <c r="KL1107"/>
      <c r="KN1107"/>
      <c r="KO1107"/>
      <c r="KP1107"/>
      <c r="KQ1107"/>
    </row>
    <row r="1108" spans="227:303" x14ac:dyDescent="0.25">
      <c r="HS1108" s="1"/>
      <c r="HU1108" s="3"/>
      <c r="HV1108" s="3"/>
      <c r="HW1108" s="3"/>
      <c r="HX1108" s="3"/>
      <c r="KL1108"/>
      <c r="KN1108"/>
      <c r="KO1108"/>
      <c r="KP1108"/>
      <c r="KQ1108"/>
    </row>
    <row r="1109" spans="227:303" x14ac:dyDescent="0.25">
      <c r="HS1109" s="1"/>
      <c r="HU1109" s="3"/>
      <c r="HV1109" s="3"/>
      <c r="HW1109" s="3"/>
      <c r="HX1109" s="3"/>
      <c r="KL1109"/>
      <c r="KN1109"/>
      <c r="KO1109"/>
      <c r="KP1109"/>
      <c r="KQ1109"/>
    </row>
    <row r="1110" spans="227:303" x14ac:dyDescent="0.25">
      <c r="HS1110" s="1"/>
      <c r="HU1110" s="3"/>
      <c r="HV1110" s="3"/>
      <c r="HW1110" s="3"/>
      <c r="HX1110" s="3"/>
      <c r="KL1110"/>
      <c r="KN1110"/>
      <c r="KO1110"/>
      <c r="KP1110"/>
      <c r="KQ1110"/>
    </row>
    <row r="1111" spans="227:303" x14ac:dyDescent="0.25">
      <c r="HS1111" s="1"/>
      <c r="HU1111" s="3"/>
      <c r="HV1111" s="3"/>
      <c r="HW1111" s="3"/>
      <c r="HX1111" s="3"/>
      <c r="KL1111"/>
      <c r="KN1111"/>
      <c r="KO1111"/>
      <c r="KP1111"/>
      <c r="KQ1111"/>
    </row>
    <row r="1112" spans="227:303" x14ac:dyDescent="0.25">
      <c r="HS1112" s="1"/>
      <c r="HU1112" s="3"/>
      <c r="HV1112" s="3"/>
      <c r="HW1112" s="3"/>
      <c r="HX1112" s="3"/>
      <c r="KL1112"/>
      <c r="KN1112"/>
      <c r="KO1112"/>
      <c r="KP1112"/>
      <c r="KQ1112"/>
    </row>
    <row r="1113" spans="227:303" x14ac:dyDescent="0.25">
      <c r="HS1113" s="1"/>
      <c r="HU1113" s="3"/>
      <c r="HV1113" s="3"/>
      <c r="HW1113" s="3"/>
      <c r="HX1113" s="3"/>
      <c r="KL1113"/>
      <c r="KN1113"/>
      <c r="KO1113"/>
      <c r="KP1113"/>
      <c r="KQ1113"/>
    </row>
    <row r="1114" spans="227:303" x14ac:dyDescent="0.25">
      <c r="HS1114" s="1"/>
      <c r="HU1114" s="3"/>
      <c r="HV1114" s="3"/>
      <c r="HW1114" s="3"/>
      <c r="HX1114" s="3"/>
      <c r="KL1114"/>
      <c r="KN1114"/>
      <c r="KO1114"/>
      <c r="KP1114"/>
      <c r="KQ1114"/>
    </row>
    <row r="1115" spans="227:303" x14ac:dyDescent="0.25">
      <c r="HS1115" s="1"/>
      <c r="HU1115" s="3"/>
      <c r="HV1115" s="3"/>
      <c r="HW1115" s="3"/>
      <c r="HX1115" s="3"/>
      <c r="KL1115"/>
      <c r="KN1115"/>
      <c r="KO1115"/>
      <c r="KP1115"/>
      <c r="KQ1115"/>
    </row>
    <row r="1116" spans="227:303" x14ac:dyDescent="0.25">
      <c r="HS1116" s="1"/>
      <c r="HU1116" s="3"/>
      <c r="HV1116" s="3"/>
      <c r="HW1116" s="3"/>
      <c r="HX1116" s="3"/>
      <c r="KL1116"/>
      <c r="KN1116"/>
      <c r="KO1116"/>
      <c r="KP1116"/>
      <c r="KQ1116"/>
    </row>
    <row r="1117" spans="227:303" x14ac:dyDescent="0.25">
      <c r="HS1117" s="1"/>
      <c r="HU1117" s="3"/>
      <c r="HV1117" s="3"/>
      <c r="HW1117" s="3"/>
      <c r="HX1117" s="3"/>
      <c r="KL1117"/>
      <c r="KN1117"/>
      <c r="KO1117"/>
      <c r="KP1117"/>
      <c r="KQ1117"/>
    </row>
    <row r="1118" spans="227:303" x14ac:dyDescent="0.25">
      <c r="HS1118" s="1"/>
      <c r="HU1118" s="3"/>
      <c r="HV1118" s="3"/>
      <c r="HW1118" s="3"/>
      <c r="HX1118" s="3"/>
      <c r="KL1118"/>
      <c r="KN1118"/>
      <c r="KO1118"/>
      <c r="KP1118"/>
      <c r="KQ1118"/>
    </row>
    <row r="1119" spans="227:303" x14ac:dyDescent="0.25">
      <c r="HS1119" s="1"/>
      <c r="HU1119" s="3"/>
      <c r="HV1119" s="3"/>
      <c r="HW1119" s="3"/>
      <c r="HX1119" s="3"/>
      <c r="KL1119"/>
      <c r="KN1119"/>
      <c r="KO1119"/>
      <c r="KP1119"/>
      <c r="KQ1119"/>
    </row>
    <row r="1120" spans="227:303" x14ac:dyDescent="0.25">
      <c r="HS1120" s="1"/>
      <c r="HU1120" s="3"/>
      <c r="HV1120" s="3"/>
      <c r="HW1120" s="3"/>
      <c r="HX1120" s="3"/>
      <c r="KL1120"/>
      <c r="KN1120"/>
      <c r="KO1120"/>
      <c r="KP1120"/>
      <c r="KQ1120"/>
    </row>
    <row r="1121" spans="227:303" x14ac:dyDescent="0.25">
      <c r="HS1121" s="1"/>
      <c r="HU1121" s="3"/>
      <c r="HV1121" s="3"/>
      <c r="HW1121" s="3"/>
      <c r="HX1121" s="3"/>
      <c r="KL1121"/>
      <c r="KN1121"/>
      <c r="KO1121"/>
      <c r="KP1121"/>
      <c r="KQ1121"/>
    </row>
    <row r="1122" spans="227:303" x14ac:dyDescent="0.25">
      <c r="HS1122" s="1"/>
      <c r="HU1122" s="3"/>
      <c r="HV1122" s="3"/>
      <c r="HW1122" s="3"/>
      <c r="HX1122" s="3"/>
      <c r="KL1122"/>
      <c r="KN1122"/>
      <c r="KO1122"/>
      <c r="KP1122"/>
      <c r="KQ1122"/>
    </row>
    <row r="1123" spans="227:303" x14ac:dyDescent="0.25">
      <c r="HS1123" s="1"/>
      <c r="HU1123" s="3"/>
      <c r="HV1123" s="3"/>
      <c r="HW1123" s="3"/>
      <c r="HX1123" s="3"/>
      <c r="KL1123"/>
      <c r="KN1123"/>
      <c r="KO1123"/>
      <c r="KP1123"/>
      <c r="KQ1123"/>
    </row>
    <row r="1124" spans="227:303" x14ac:dyDescent="0.25">
      <c r="HS1124" s="1"/>
      <c r="HU1124" s="3"/>
      <c r="HV1124" s="3"/>
      <c r="HW1124" s="3"/>
      <c r="HX1124" s="3"/>
      <c r="KL1124"/>
      <c r="KN1124"/>
      <c r="KO1124"/>
      <c r="KP1124"/>
      <c r="KQ1124"/>
    </row>
    <row r="1125" spans="227:303" x14ac:dyDescent="0.25">
      <c r="HS1125" s="1"/>
      <c r="HU1125" s="3"/>
      <c r="HV1125" s="3"/>
      <c r="HW1125" s="3"/>
      <c r="HX1125" s="3"/>
      <c r="KL1125"/>
      <c r="KN1125"/>
      <c r="KO1125"/>
      <c r="KP1125"/>
      <c r="KQ1125"/>
    </row>
    <row r="1126" spans="227:303" x14ac:dyDescent="0.25">
      <c r="HS1126" s="1"/>
      <c r="HU1126" s="3"/>
      <c r="HV1126" s="3"/>
      <c r="HW1126" s="3"/>
      <c r="HX1126" s="3"/>
      <c r="KL1126"/>
      <c r="KN1126"/>
      <c r="KO1126"/>
      <c r="KP1126"/>
      <c r="KQ1126"/>
    </row>
    <row r="1127" spans="227:303" x14ac:dyDescent="0.25">
      <c r="HS1127" s="1"/>
      <c r="HU1127" s="3"/>
      <c r="HV1127" s="3"/>
      <c r="HW1127" s="3"/>
      <c r="HX1127" s="3"/>
      <c r="KL1127"/>
      <c r="KN1127"/>
      <c r="KO1127"/>
      <c r="KP1127"/>
      <c r="KQ1127"/>
    </row>
    <row r="1128" spans="227:303" x14ac:dyDescent="0.25">
      <c r="HS1128" s="1"/>
      <c r="HU1128" s="3"/>
      <c r="HV1128" s="3"/>
      <c r="HW1128" s="3"/>
      <c r="HX1128" s="3"/>
      <c r="KL1128"/>
      <c r="KN1128"/>
      <c r="KO1128"/>
      <c r="KP1128"/>
      <c r="KQ1128"/>
    </row>
    <row r="1129" spans="227:303" x14ac:dyDescent="0.25">
      <c r="HS1129" s="1"/>
      <c r="HU1129" s="3"/>
      <c r="HV1129" s="3"/>
      <c r="HW1129" s="3"/>
      <c r="HX1129" s="3"/>
      <c r="KL1129"/>
      <c r="KN1129"/>
      <c r="KO1129"/>
      <c r="KP1129"/>
      <c r="KQ1129"/>
    </row>
    <row r="1130" spans="227:303" x14ac:dyDescent="0.25">
      <c r="HS1130" s="1"/>
      <c r="HU1130" s="3"/>
      <c r="HV1130" s="3"/>
      <c r="HW1130" s="3"/>
      <c r="HX1130" s="3"/>
      <c r="KL1130"/>
      <c r="KN1130"/>
      <c r="KO1130"/>
      <c r="KP1130"/>
      <c r="KQ1130"/>
    </row>
    <row r="1131" spans="227:303" x14ac:dyDescent="0.25">
      <c r="HS1131" s="1"/>
      <c r="HU1131" s="3"/>
      <c r="HV1131" s="3"/>
      <c r="HW1131" s="3"/>
      <c r="HX1131" s="3"/>
      <c r="KL1131"/>
      <c r="KN1131"/>
      <c r="KO1131"/>
      <c r="KP1131"/>
      <c r="KQ1131"/>
    </row>
    <row r="1132" spans="227:303" x14ac:dyDescent="0.25">
      <c r="HS1132" s="1"/>
      <c r="HU1132" s="3"/>
      <c r="HV1132" s="3"/>
      <c r="HW1132" s="3"/>
      <c r="HX1132" s="3"/>
      <c r="KL1132"/>
      <c r="KN1132"/>
      <c r="KO1132"/>
      <c r="KP1132"/>
      <c r="KQ1132"/>
    </row>
    <row r="1133" spans="227:303" x14ac:dyDescent="0.25">
      <c r="HS1133" s="1"/>
      <c r="HU1133" s="3"/>
      <c r="HV1133" s="3"/>
      <c r="HW1133" s="3"/>
      <c r="HX1133" s="3"/>
      <c r="KL1133"/>
      <c r="KN1133"/>
      <c r="KO1133"/>
      <c r="KP1133"/>
      <c r="KQ1133"/>
    </row>
    <row r="1134" spans="227:303" x14ac:dyDescent="0.25">
      <c r="HS1134" s="1"/>
      <c r="HU1134" s="3"/>
      <c r="HV1134" s="3"/>
      <c r="HW1134" s="3"/>
      <c r="HX1134" s="3"/>
      <c r="KL1134"/>
      <c r="KN1134"/>
      <c r="KO1134"/>
      <c r="KP1134"/>
      <c r="KQ1134"/>
    </row>
    <row r="1135" spans="227:303" x14ac:dyDescent="0.25">
      <c r="HS1135" s="1"/>
      <c r="HU1135" s="3"/>
      <c r="HV1135" s="3"/>
      <c r="HW1135" s="3"/>
      <c r="HX1135" s="3"/>
      <c r="KL1135"/>
      <c r="KN1135"/>
      <c r="KO1135"/>
      <c r="KP1135"/>
      <c r="KQ1135"/>
    </row>
    <row r="1136" spans="227:303" x14ac:dyDescent="0.25">
      <c r="HS1136" s="1"/>
      <c r="HU1136" s="3"/>
      <c r="HV1136" s="3"/>
      <c r="HW1136" s="3"/>
      <c r="HX1136" s="3"/>
      <c r="KL1136"/>
      <c r="KN1136"/>
      <c r="KO1136"/>
      <c r="KP1136"/>
      <c r="KQ1136"/>
    </row>
    <row r="1137" spans="227:303" x14ac:dyDescent="0.25">
      <c r="HS1137" s="1"/>
      <c r="HU1137" s="3"/>
      <c r="HV1137" s="3"/>
      <c r="HW1137" s="3"/>
      <c r="HX1137" s="3"/>
      <c r="KL1137"/>
      <c r="KN1137"/>
      <c r="KO1137"/>
      <c r="KP1137"/>
      <c r="KQ1137"/>
    </row>
    <row r="1138" spans="227:303" x14ac:dyDescent="0.25">
      <c r="HS1138" s="1"/>
      <c r="HU1138" s="3"/>
      <c r="HV1138" s="3"/>
      <c r="HW1138" s="3"/>
      <c r="HX1138" s="3"/>
      <c r="KL1138"/>
      <c r="KN1138"/>
      <c r="KO1138"/>
      <c r="KP1138"/>
      <c r="KQ1138"/>
    </row>
    <row r="1139" spans="227:303" x14ac:dyDescent="0.25">
      <c r="HS1139" s="1"/>
      <c r="HU1139" s="3"/>
      <c r="HV1139" s="3"/>
      <c r="HW1139" s="3"/>
      <c r="HX1139" s="3"/>
      <c r="KL1139"/>
      <c r="KN1139"/>
      <c r="KO1139"/>
      <c r="KP1139"/>
      <c r="KQ1139"/>
    </row>
    <row r="1140" spans="227:303" x14ac:dyDescent="0.25">
      <c r="HS1140" s="1"/>
      <c r="HU1140" s="3"/>
      <c r="HV1140" s="3"/>
      <c r="HW1140" s="3"/>
      <c r="HX1140" s="3"/>
      <c r="KL1140"/>
      <c r="KN1140"/>
      <c r="KO1140"/>
      <c r="KP1140"/>
      <c r="KQ1140"/>
    </row>
    <row r="1141" spans="227:303" x14ac:dyDescent="0.25">
      <c r="HS1141" s="1"/>
      <c r="HU1141" s="3"/>
      <c r="HV1141" s="3"/>
      <c r="HW1141" s="3"/>
      <c r="HX1141" s="3"/>
      <c r="KL1141"/>
      <c r="KN1141"/>
      <c r="KO1141"/>
      <c r="KP1141"/>
      <c r="KQ1141"/>
    </row>
    <row r="1142" spans="227:303" x14ac:dyDescent="0.25">
      <c r="HS1142" s="1"/>
      <c r="HU1142" s="3"/>
      <c r="HV1142" s="3"/>
      <c r="HW1142" s="3"/>
      <c r="HX1142" s="3"/>
      <c r="KL1142"/>
      <c r="KN1142"/>
      <c r="KO1142"/>
      <c r="KP1142"/>
      <c r="KQ1142"/>
    </row>
    <row r="1143" spans="227:303" x14ac:dyDescent="0.25">
      <c r="HS1143" s="1"/>
      <c r="HU1143" s="3"/>
      <c r="HV1143" s="3"/>
      <c r="HW1143" s="3"/>
      <c r="HX1143" s="3"/>
      <c r="KL1143"/>
      <c r="KN1143"/>
      <c r="KO1143"/>
      <c r="KP1143"/>
      <c r="KQ1143"/>
    </row>
    <row r="1144" spans="227:303" x14ac:dyDescent="0.25">
      <c r="HS1144" s="1"/>
      <c r="HU1144" s="3"/>
      <c r="HV1144" s="3"/>
      <c r="HW1144" s="3"/>
      <c r="HX1144" s="3"/>
      <c r="KL1144"/>
      <c r="KN1144"/>
      <c r="KO1144"/>
      <c r="KP1144"/>
      <c r="KQ1144"/>
    </row>
    <row r="1145" spans="227:303" x14ac:dyDescent="0.25">
      <c r="HS1145" s="1"/>
      <c r="HU1145" s="3"/>
      <c r="HV1145" s="3"/>
      <c r="HW1145" s="3"/>
      <c r="HX1145" s="3"/>
      <c r="KL1145"/>
      <c r="KN1145"/>
      <c r="KO1145"/>
      <c r="KP1145"/>
      <c r="KQ1145"/>
    </row>
    <row r="1146" spans="227:303" x14ac:dyDescent="0.25">
      <c r="HS1146" s="1"/>
      <c r="HU1146" s="3"/>
      <c r="HV1146" s="3"/>
      <c r="HW1146" s="3"/>
      <c r="HX1146" s="3"/>
      <c r="KL1146"/>
      <c r="KN1146"/>
      <c r="KO1146"/>
      <c r="KP1146"/>
      <c r="KQ1146"/>
    </row>
    <row r="1147" spans="227:303" x14ac:dyDescent="0.25">
      <c r="HS1147" s="1"/>
      <c r="HU1147" s="3"/>
      <c r="HV1147" s="3"/>
      <c r="HW1147" s="3"/>
      <c r="HX1147" s="3"/>
      <c r="KL1147"/>
      <c r="KN1147"/>
      <c r="KO1147"/>
      <c r="KP1147"/>
      <c r="KQ1147"/>
    </row>
    <row r="1148" spans="227:303" x14ac:dyDescent="0.25">
      <c r="HS1148" s="1"/>
      <c r="HU1148" s="3"/>
      <c r="HV1148" s="3"/>
      <c r="HW1148" s="3"/>
      <c r="HX1148" s="3"/>
      <c r="KL1148"/>
      <c r="KN1148"/>
      <c r="KO1148"/>
      <c r="KP1148"/>
      <c r="KQ1148"/>
    </row>
    <row r="1149" spans="227:303" x14ac:dyDescent="0.25">
      <c r="HS1149" s="1"/>
      <c r="HU1149" s="3"/>
      <c r="HV1149" s="3"/>
      <c r="HW1149" s="3"/>
      <c r="HX1149" s="3"/>
      <c r="KL1149"/>
      <c r="KN1149"/>
      <c r="KO1149"/>
      <c r="KP1149"/>
      <c r="KQ1149"/>
    </row>
    <row r="1150" spans="227:303" x14ac:dyDescent="0.25">
      <c r="HS1150" s="1"/>
      <c r="HU1150" s="3"/>
      <c r="HV1150" s="3"/>
      <c r="HW1150" s="3"/>
      <c r="HX1150" s="3"/>
      <c r="KL1150"/>
      <c r="KN1150"/>
      <c r="KO1150"/>
      <c r="KP1150"/>
      <c r="KQ1150"/>
    </row>
    <row r="1151" spans="227:303" x14ac:dyDescent="0.25">
      <c r="HS1151" s="1"/>
      <c r="HU1151" s="3"/>
      <c r="HV1151" s="3"/>
      <c r="HW1151" s="3"/>
      <c r="HX1151" s="3"/>
      <c r="KL1151"/>
      <c r="KN1151"/>
      <c r="KO1151"/>
      <c r="KP1151"/>
      <c r="KQ1151"/>
    </row>
    <row r="1152" spans="227:303" x14ac:dyDescent="0.25">
      <c r="HS1152" s="1"/>
      <c r="HU1152" s="3"/>
      <c r="HV1152" s="3"/>
      <c r="HW1152" s="3"/>
      <c r="HX1152" s="3"/>
      <c r="KL1152"/>
      <c r="KN1152"/>
      <c r="KO1152"/>
      <c r="KP1152"/>
      <c r="KQ1152"/>
    </row>
    <row r="1153" spans="227:303" x14ac:dyDescent="0.25">
      <c r="HS1153" s="1"/>
      <c r="HU1153" s="3"/>
      <c r="HV1153" s="3"/>
      <c r="HW1153" s="3"/>
      <c r="HX1153" s="3"/>
      <c r="KL1153"/>
      <c r="KN1153"/>
      <c r="KO1153"/>
      <c r="KP1153"/>
      <c r="KQ1153"/>
    </row>
    <row r="1154" spans="227:303" x14ac:dyDescent="0.25">
      <c r="HS1154" s="1"/>
      <c r="HU1154" s="3"/>
      <c r="HV1154" s="3"/>
      <c r="HW1154" s="3"/>
      <c r="HX1154" s="3"/>
      <c r="KL1154"/>
      <c r="KN1154"/>
      <c r="KO1154"/>
      <c r="KP1154"/>
      <c r="KQ1154"/>
    </row>
    <row r="1155" spans="227:303" x14ac:dyDescent="0.25">
      <c r="HS1155" s="1"/>
      <c r="HU1155" s="3"/>
      <c r="HV1155" s="3"/>
      <c r="HW1155" s="3"/>
      <c r="HX1155" s="3"/>
      <c r="KL1155"/>
      <c r="KN1155"/>
      <c r="KO1155"/>
      <c r="KP1155"/>
      <c r="KQ1155"/>
    </row>
    <row r="1156" spans="227:303" x14ac:dyDescent="0.25">
      <c r="HS1156" s="1"/>
      <c r="HU1156" s="3"/>
      <c r="HV1156" s="3"/>
      <c r="HW1156" s="3"/>
      <c r="HX1156" s="3"/>
      <c r="KL1156"/>
      <c r="KN1156"/>
      <c r="KO1156"/>
      <c r="KP1156"/>
      <c r="KQ1156"/>
    </row>
    <row r="1157" spans="227:303" x14ac:dyDescent="0.25">
      <c r="HS1157" s="1"/>
      <c r="HU1157" s="3"/>
      <c r="HV1157" s="3"/>
      <c r="HW1157" s="3"/>
      <c r="HX1157" s="3"/>
      <c r="KL1157"/>
      <c r="KN1157"/>
      <c r="KO1157"/>
      <c r="KP1157"/>
      <c r="KQ1157"/>
    </row>
    <row r="1158" spans="227:303" x14ac:dyDescent="0.25">
      <c r="HS1158" s="1"/>
      <c r="HU1158" s="3"/>
      <c r="HV1158" s="3"/>
      <c r="HW1158" s="3"/>
      <c r="HX1158" s="3"/>
      <c r="KL1158"/>
      <c r="KN1158"/>
      <c r="KO1158"/>
      <c r="KP1158"/>
      <c r="KQ1158"/>
    </row>
    <row r="1159" spans="227:303" x14ac:dyDescent="0.25">
      <c r="HS1159" s="1"/>
      <c r="HU1159" s="3"/>
      <c r="HV1159" s="3"/>
      <c r="HW1159" s="3"/>
      <c r="HX1159" s="3"/>
      <c r="KL1159"/>
      <c r="KN1159"/>
      <c r="KO1159"/>
      <c r="KP1159"/>
      <c r="KQ1159"/>
    </row>
    <row r="1160" spans="227:303" x14ac:dyDescent="0.25">
      <c r="HS1160" s="1"/>
      <c r="HU1160" s="3"/>
      <c r="HV1160" s="3"/>
      <c r="HW1160" s="3"/>
      <c r="HX1160" s="3"/>
      <c r="KL1160"/>
      <c r="KN1160"/>
      <c r="KO1160"/>
      <c r="KP1160"/>
      <c r="KQ1160"/>
    </row>
    <row r="1161" spans="227:303" x14ac:dyDescent="0.25">
      <c r="HS1161" s="1"/>
      <c r="HU1161" s="3"/>
      <c r="HV1161" s="3"/>
      <c r="HW1161" s="3"/>
      <c r="HX1161" s="3"/>
      <c r="KL1161"/>
      <c r="KN1161"/>
      <c r="KO1161"/>
      <c r="KP1161"/>
      <c r="KQ1161"/>
    </row>
    <row r="1162" spans="227:303" x14ac:dyDescent="0.25">
      <c r="HS1162" s="1"/>
      <c r="HU1162" s="3"/>
      <c r="HV1162" s="3"/>
      <c r="HW1162" s="3"/>
      <c r="HX1162" s="3"/>
      <c r="KL1162"/>
      <c r="KN1162"/>
      <c r="KO1162"/>
      <c r="KP1162"/>
      <c r="KQ1162"/>
    </row>
    <row r="1163" spans="227:303" x14ac:dyDescent="0.25">
      <c r="HS1163" s="1"/>
      <c r="HU1163" s="3"/>
      <c r="HV1163" s="3"/>
      <c r="HW1163" s="3"/>
      <c r="HX1163" s="3"/>
      <c r="KL1163"/>
      <c r="KN1163"/>
      <c r="KO1163"/>
      <c r="KP1163"/>
      <c r="KQ1163"/>
    </row>
    <row r="1164" spans="227:303" x14ac:dyDescent="0.25">
      <c r="HS1164" s="1"/>
      <c r="HU1164" s="3"/>
      <c r="HV1164" s="3"/>
      <c r="HW1164" s="3"/>
      <c r="HX1164" s="3"/>
      <c r="KL1164"/>
      <c r="KN1164"/>
      <c r="KO1164"/>
      <c r="KP1164"/>
      <c r="KQ1164"/>
    </row>
    <row r="1165" spans="227:303" x14ac:dyDescent="0.25">
      <c r="HS1165" s="1"/>
      <c r="HU1165" s="3"/>
      <c r="HV1165" s="3"/>
      <c r="HW1165" s="3"/>
      <c r="HX1165" s="3"/>
      <c r="KL1165"/>
      <c r="KN1165"/>
      <c r="KO1165"/>
      <c r="KP1165"/>
      <c r="KQ1165"/>
    </row>
    <row r="1166" spans="227:303" x14ac:dyDescent="0.25">
      <c r="HS1166" s="1"/>
      <c r="HU1166" s="3"/>
      <c r="HV1166" s="3"/>
      <c r="HW1166" s="3"/>
      <c r="HX1166" s="3"/>
      <c r="KL1166"/>
      <c r="KN1166"/>
      <c r="KO1166"/>
      <c r="KP1166"/>
      <c r="KQ1166"/>
    </row>
    <row r="1167" spans="227:303" x14ac:dyDescent="0.25">
      <c r="HS1167" s="1"/>
      <c r="HU1167" s="3"/>
      <c r="HV1167" s="3"/>
      <c r="HW1167" s="3"/>
      <c r="HX1167" s="3"/>
      <c r="KL1167"/>
      <c r="KN1167"/>
      <c r="KO1167"/>
      <c r="KP1167"/>
      <c r="KQ1167"/>
    </row>
    <row r="1168" spans="227:303" x14ac:dyDescent="0.25">
      <c r="HS1168" s="1"/>
      <c r="HU1168" s="3"/>
      <c r="HV1168" s="3"/>
      <c r="HW1168" s="3"/>
      <c r="HX1168" s="3"/>
      <c r="KL1168"/>
      <c r="KN1168"/>
      <c r="KO1168"/>
      <c r="KP1168"/>
      <c r="KQ1168"/>
    </row>
    <row r="1169" spans="227:303" x14ac:dyDescent="0.25">
      <c r="HS1169" s="1"/>
      <c r="HU1169" s="3"/>
      <c r="HV1169" s="3"/>
      <c r="HW1169" s="3"/>
      <c r="HX1169" s="3"/>
      <c r="KL1169"/>
      <c r="KN1169"/>
      <c r="KO1169"/>
      <c r="KP1169"/>
      <c r="KQ1169"/>
    </row>
    <row r="1170" spans="227:303" x14ac:dyDescent="0.25">
      <c r="HS1170" s="1"/>
      <c r="HU1170" s="3"/>
      <c r="HV1170" s="3"/>
      <c r="HW1170" s="3"/>
      <c r="HX1170" s="3"/>
      <c r="KL1170"/>
      <c r="KN1170"/>
      <c r="KO1170"/>
      <c r="KP1170"/>
      <c r="KQ1170"/>
    </row>
    <row r="1171" spans="227:303" x14ac:dyDescent="0.25">
      <c r="HS1171" s="1"/>
      <c r="HU1171" s="3"/>
      <c r="HV1171" s="3"/>
      <c r="HW1171" s="3"/>
      <c r="HX1171" s="3"/>
      <c r="KL1171"/>
      <c r="KN1171"/>
      <c r="KO1171"/>
      <c r="KP1171"/>
      <c r="KQ1171"/>
    </row>
    <row r="1172" spans="227:303" x14ac:dyDescent="0.25">
      <c r="HS1172" s="1"/>
      <c r="HU1172" s="3"/>
      <c r="HV1172" s="3"/>
      <c r="HW1172" s="3"/>
      <c r="HX1172" s="3"/>
      <c r="KL1172"/>
      <c r="KN1172"/>
      <c r="KO1172"/>
      <c r="KP1172"/>
      <c r="KQ1172"/>
    </row>
    <row r="1173" spans="227:303" x14ac:dyDescent="0.25">
      <c r="HS1173" s="1"/>
      <c r="HU1173" s="3"/>
      <c r="HV1173" s="3"/>
      <c r="HW1173" s="3"/>
      <c r="HX1173" s="3"/>
      <c r="KL1173"/>
      <c r="KN1173"/>
      <c r="KO1173"/>
      <c r="KP1173"/>
      <c r="KQ1173"/>
    </row>
    <row r="1174" spans="227:303" x14ac:dyDescent="0.25">
      <c r="HS1174" s="1"/>
      <c r="HU1174" s="3"/>
      <c r="HV1174" s="3"/>
      <c r="HW1174" s="3"/>
      <c r="HX1174" s="3"/>
      <c r="KL1174"/>
      <c r="KN1174"/>
      <c r="KO1174"/>
      <c r="KP1174"/>
      <c r="KQ1174"/>
    </row>
    <row r="1175" spans="227:303" x14ac:dyDescent="0.25">
      <c r="HS1175" s="1"/>
      <c r="HU1175" s="3"/>
      <c r="HV1175" s="3"/>
      <c r="HW1175" s="3"/>
      <c r="HX1175" s="3"/>
      <c r="KL1175"/>
      <c r="KN1175"/>
      <c r="KO1175"/>
      <c r="KP1175"/>
      <c r="KQ1175"/>
    </row>
    <row r="1176" spans="227:303" x14ac:dyDescent="0.25">
      <c r="HS1176" s="1"/>
      <c r="HU1176" s="3"/>
      <c r="HV1176" s="3"/>
      <c r="HW1176" s="3"/>
      <c r="HX1176" s="3"/>
      <c r="KL1176"/>
      <c r="KN1176"/>
      <c r="KO1176"/>
      <c r="KP1176"/>
      <c r="KQ1176"/>
    </row>
    <row r="1177" spans="227:303" x14ac:dyDescent="0.25">
      <c r="HS1177" s="1"/>
      <c r="HU1177" s="3"/>
      <c r="HV1177" s="3"/>
      <c r="HW1177" s="3"/>
      <c r="HX1177" s="3"/>
      <c r="KL1177"/>
      <c r="KN1177"/>
      <c r="KO1177"/>
      <c r="KP1177"/>
      <c r="KQ1177"/>
    </row>
    <row r="1178" spans="227:303" x14ac:dyDescent="0.25">
      <c r="HS1178" s="1"/>
      <c r="HU1178" s="3"/>
      <c r="HV1178" s="3"/>
      <c r="HW1178" s="3"/>
      <c r="HX1178" s="3"/>
      <c r="KL1178"/>
      <c r="KN1178"/>
      <c r="KO1178"/>
      <c r="KP1178"/>
      <c r="KQ1178"/>
    </row>
    <row r="1179" spans="227:303" x14ac:dyDescent="0.25">
      <c r="HS1179" s="1"/>
      <c r="HU1179" s="3"/>
      <c r="HV1179" s="3"/>
      <c r="HW1179" s="3"/>
      <c r="HX1179" s="3"/>
      <c r="KL1179"/>
      <c r="KN1179"/>
      <c r="KO1179"/>
      <c r="KP1179"/>
      <c r="KQ1179"/>
    </row>
    <row r="1180" spans="227:303" x14ac:dyDescent="0.25">
      <c r="HS1180" s="1"/>
      <c r="HU1180" s="3"/>
      <c r="HV1180" s="3"/>
      <c r="HW1180" s="3"/>
      <c r="HX1180" s="3"/>
      <c r="KL1180"/>
      <c r="KN1180"/>
      <c r="KO1180"/>
      <c r="KP1180"/>
      <c r="KQ1180"/>
    </row>
    <row r="1181" spans="227:303" x14ac:dyDescent="0.25">
      <c r="HS1181" s="1"/>
      <c r="HU1181" s="3"/>
      <c r="HV1181" s="3"/>
      <c r="HW1181" s="3"/>
      <c r="HX1181" s="3"/>
      <c r="KL1181"/>
      <c r="KN1181"/>
      <c r="KO1181"/>
      <c r="KP1181"/>
      <c r="KQ1181"/>
    </row>
    <row r="1182" spans="227:303" x14ac:dyDescent="0.25">
      <c r="HS1182" s="1"/>
      <c r="HU1182" s="3"/>
      <c r="HV1182" s="3"/>
      <c r="HW1182" s="3"/>
      <c r="HX1182" s="3"/>
      <c r="KL1182"/>
      <c r="KN1182"/>
      <c r="KO1182"/>
      <c r="KP1182"/>
      <c r="KQ1182"/>
    </row>
    <row r="1183" spans="227:303" x14ac:dyDescent="0.25">
      <c r="HS1183" s="1"/>
      <c r="HU1183" s="3"/>
      <c r="HV1183" s="3"/>
      <c r="HW1183" s="3"/>
      <c r="HX1183" s="3"/>
      <c r="KL1183"/>
      <c r="KN1183"/>
      <c r="KO1183"/>
      <c r="KP1183"/>
      <c r="KQ1183"/>
    </row>
    <row r="1184" spans="227:303" x14ac:dyDescent="0.25">
      <c r="HS1184" s="1"/>
      <c r="HU1184" s="3"/>
      <c r="HV1184" s="3"/>
      <c r="HW1184" s="3"/>
      <c r="HX1184" s="3"/>
      <c r="KL1184"/>
      <c r="KN1184"/>
      <c r="KO1184"/>
      <c r="KP1184"/>
      <c r="KQ1184"/>
    </row>
    <row r="1185" spans="227:303" x14ac:dyDescent="0.25">
      <c r="HS1185" s="1"/>
      <c r="HU1185" s="3"/>
      <c r="HV1185" s="3"/>
      <c r="HW1185" s="3"/>
      <c r="HX1185" s="3"/>
      <c r="KL1185"/>
      <c r="KN1185"/>
      <c r="KO1185"/>
      <c r="KP1185"/>
      <c r="KQ1185"/>
    </row>
    <row r="1186" spans="227:303" x14ac:dyDescent="0.25">
      <c r="HS1186" s="1"/>
      <c r="HU1186" s="3"/>
      <c r="HV1186" s="3"/>
      <c r="HW1186" s="3"/>
      <c r="HX1186" s="3"/>
      <c r="KL1186"/>
      <c r="KN1186"/>
      <c r="KO1186"/>
      <c r="KP1186"/>
      <c r="KQ1186"/>
    </row>
    <row r="1187" spans="227:303" x14ac:dyDescent="0.25">
      <c r="HS1187" s="1"/>
      <c r="HU1187" s="3"/>
      <c r="HV1187" s="3"/>
      <c r="HW1187" s="3"/>
      <c r="HX1187" s="3"/>
      <c r="KL1187"/>
      <c r="KN1187"/>
      <c r="KO1187"/>
      <c r="KP1187"/>
      <c r="KQ1187"/>
    </row>
    <row r="1188" spans="227:303" x14ac:dyDescent="0.25">
      <c r="HS1188" s="1"/>
      <c r="HU1188" s="3"/>
      <c r="HV1188" s="3"/>
      <c r="HW1188" s="3"/>
      <c r="HX1188" s="3"/>
      <c r="KL1188"/>
      <c r="KN1188"/>
      <c r="KO1188"/>
      <c r="KP1188"/>
      <c r="KQ1188"/>
    </row>
    <row r="1189" spans="227:303" x14ac:dyDescent="0.25">
      <c r="HS1189" s="1"/>
      <c r="HU1189" s="3"/>
      <c r="HV1189" s="3"/>
      <c r="HW1189" s="3"/>
      <c r="HX1189" s="3"/>
      <c r="KL1189"/>
      <c r="KN1189"/>
      <c r="KO1189"/>
      <c r="KP1189"/>
      <c r="KQ1189"/>
    </row>
    <row r="1190" spans="227:303" x14ac:dyDescent="0.25">
      <c r="HS1190" s="1"/>
      <c r="HU1190" s="3"/>
      <c r="HV1190" s="3"/>
      <c r="HW1190" s="3"/>
      <c r="HX1190" s="3"/>
      <c r="KL1190"/>
      <c r="KN1190"/>
      <c r="KO1190"/>
      <c r="KP1190"/>
      <c r="KQ1190"/>
    </row>
    <row r="1191" spans="227:303" x14ac:dyDescent="0.25">
      <c r="HS1191" s="1"/>
      <c r="HU1191" s="3"/>
      <c r="HV1191" s="3"/>
      <c r="HW1191" s="3"/>
      <c r="HX1191" s="3"/>
      <c r="KL1191"/>
      <c r="KN1191"/>
      <c r="KO1191"/>
      <c r="KP1191"/>
      <c r="KQ1191"/>
    </row>
    <row r="1192" spans="227:303" x14ac:dyDescent="0.25">
      <c r="HS1192" s="1"/>
      <c r="HU1192" s="3"/>
      <c r="HV1192" s="3"/>
      <c r="HW1192" s="3"/>
      <c r="HX1192" s="3"/>
      <c r="KL1192"/>
      <c r="KN1192"/>
      <c r="KO1192"/>
      <c r="KP1192"/>
      <c r="KQ1192"/>
    </row>
    <row r="1193" spans="227:303" x14ac:dyDescent="0.25">
      <c r="HS1193" s="1"/>
      <c r="HU1193" s="3"/>
      <c r="HV1193" s="3"/>
      <c r="HW1193" s="3"/>
      <c r="HX1193" s="3"/>
      <c r="KL1193"/>
      <c r="KN1193"/>
      <c r="KO1193"/>
      <c r="KP1193"/>
      <c r="KQ1193"/>
    </row>
    <row r="1194" spans="227:303" x14ac:dyDescent="0.25">
      <c r="HS1194" s="1"/>
      <c r="HU1194" s="3"/>
      <c r="HV1194" s="3"/>
      <c r="HW1194" s="3"/>
      <c r="HX1194" s="3"/>
      <c r="KL1194"/>
      <c r="KN1194"/>
      <c r="KO1194"/>
      <c r="KP1194"/>
      <c r="KQ1194"/>
    </row>
    <row r="1195" spans="227:303" x14ac:dyDescent="0.25">
      <c r="HS1195" s="1"/>
      <c r="HU1195" s="3"/>
      <c r="HV1195" s="3"/>
      <c r="HW1195" s="3"/>
      <c r="HX1195" s="3"/>
      <c r="KL1195"/>
      <c r="KN1195"/>
      <c r="KO1195"/>
      <c r="KP1195"/>
      <c r="KQ1195"/>
    </row>
    <row r="1196" spans="227:303" x14ac:dyDescent="0.25">
      <c r="HS1196" s="1"/>
      <c r="HU1196" s="3"/>
      <c r="HV1196" s="3"/>
      <c r="HW1196" s="3"/>
      <c r="HX1196" s="3"/>
      <c r="KL1196"/>
      <c r="KN1196"/>
      <c r="KO1196"/>
      <c r="KP1196"/>
      <c r="KQ1196"/>
    </row>
    <row r="1197" spans="227:303" x14ac:dyDescent="0.25">
      <c r="HS1197" s="1"/>
      <c r="HU1197" s="3"/>
      <c r="HV1197" s="3"/>
      <c r="HW1197" s="3"/>
      <c r="HX1197" s="3"/>
      <c r="KL1197"/>
      <c r="KN1197"/>
      <c r="KO1197"/>
      <c r="KP1197"/>
      <c r="KQ1197"/>
    </row>
    <row r="1198" spans="227:303" x14ac:dyDescent="0.25">
      <c r="HS1198" s="1"/>
      <c r="HU1198" s="3"/>
      <c r="HV1198" s="3"/>
      <c r="HW1198" s="3"/>
      <c r="HX1198" s="3"/>
      <c r="KL1198"/>
      <c r="KN1198"/>
      <c r="KO1198"/>
      <c r="KP1198"/>
      <c r="KQ1198"/>
    </row>
    <row r="1199" spans="227:303" x14ac:dyDescent="0.25">
      <c r="HS1199" s="1"/>
      <c r="HU1199" s="3"/>
      <c r="HV1199" s="3"/>
      <c r="HW1199" s="3"/>
      <c r="HX1199" s="3"/>
      <c r="KL1199"/>
      <c r="KN1199"/>
      <c r="KO1199"/>
      <c r="KP1199"/>
      <c r="KQ1199"/>
    </row>
    <row r="1200" spans="227:303" x14ac:dyDescent="0.25">
      <c r="HS1200" s="1"/>
      <c r="HU1200" s="3"/>
      <c r="HV1200" s="3"/>
      <c r="HW1200" s="3"/>
      <c r="HX1200" s="3"/>
      <c r="KL1200"/>
      <c r="KN1200"/>
      <c r="KO1200"/>
      <c r="KP1200"/>
      <c r="KQ1200"/>
    </row>
    <row r="1201" spans="227:303" x14ac:dyDescent="0.25">
      <c r="HS1201" s="1"/>
      <c r="HU1201" s="3"/>
      <c r="HV1201" s="3"/>
      <c r="HW1201" s="3"/>
      <c r="HX1201" s="3"/>
      <c r="KL1201"/>
      <c r="KN1201"/>
      <c r="KO1201"/>
      <c r="KP1201"/>
      <c r="KQ1201"/>
    </row>
    <row r="1202" spans="227:303" x14ac:dyDescent="0.25">
      <c r="HS1202" s="1"/>
      <c r="HU1202" s="3"/>
      <c r="HV1202" s="3"/>
      <c r="HW1202" s="3"/>
      <c r="HX1202" s="3"/>
      <c r="KL1202"/>
      <c r="KN1202"/>
      <c r="KO1202"/>
      <c r="KP1202"/>
      <c r="KQ1202"/>
    </row>
    <row r="1203" spans="227:303" x14ac:dyDescent="0.25">
      <c r="HS1203" s="1"/>
      <c r="HU1203" s="3"/>
      <c r="HV1203" s="3"/>
      <c r="HW1203" s="3"/>
      <c r="HX1203" s="3"/>
      <c r="KL1203"/>
      <c r="KN1203"/>
      <c r="KO1203"/>
      <c r="KP1203"/>
      <c r="KQ1203"/>
    </row>
    <row r="1204" spans="227:303" x14ac:dyDescent="0.25">
      <c r="HS1204" s="1"/>
      <c r="HU1204" s="3"/>
      <c r="HV1204" s="3"/>
      <c r="HW1204" s="3"/>
      <c r="HX1204" s="3"/>
      <c r="KL1204"/>
      <c r="KN1204"/>
      <c r="KO1204"/>
      <c r="KP1204"/>
      <c r="KQ1204"/>
    </row>
    <row r="1205" spans="227:303" x14ac:dyDescent="0.25">
      <c r="HS1205" s="1"/>
      <c r="HU1205" s="3"/>
      <c r="HV1205" s="3"/>
      <c r="HW1205" s="3"/>
      <c r="HX1205" s="3"/>
      <c r="KL1205"/>
      <c r="KN1205"/>
      <c r="KO1205"/>
      <c r="KP1205"/>
      <c r="KQ1205"/>
    </row>
    <row r="1206" spans="227:303" x14ac:dyDescent="0.25">
      <c r="HS1206" s="1"/>
      <c r="HU1206" s="3"/>
      <c r="HV1206" s="3"/>
      <c r="HW1206" s="3"/>
      <c r="HX1206" s="3"/>
      <c r="KL1206"/>
      <c r="KN1206"/>
      <c r="KO1206"/>
      <c r="KP1206"/>
      <c r="KQ1206"/>
    </row>
    <row r="1207" spans="227:303" x14ac:dyDescent="0.25">
      <c r="HS1207" s="1"/>
      <c r="HU1207" s="3"/>
      <c r="HV1207" s="3"/>
      <c r="HW1207" s="3"/>
      <c r="HX1207" s="3"/>
      <c r="KL1207"/>
      <c r="KN1207"/>
      <c r="KO1207"/>
      <c r="KP1207"/>
      <c r="KQ1207"/>
    </row>
    <row r="1208" spans="227:303" x14ac:dyDescent="0.25">
      <c r="HS1208" s="1"/>
      <c r="HU1208" s="3"/>
      <c r="HV1208" s="3"/>
      <c r="HW1208" s="3"/>
      <c r="HX1208" s="3"/>
      <c r="KL1208"/>
      <c r="KN1208"/>
      <c r="KO1208"/>
      <c r="KP1208"/>
      <c r="KQ1208"/>
    </row>
    <row r="1209" spans="227:303" x14ac:dyDescent="0.25">
      <c r="HS1209" s="1"/>
      <c r="HU1209" s="3"/>
      <c r="HV1209" s="3"/>
      <c r="HW1209" s="3"/>
      <c r="HX1209" s="3"/>
      <c r="KL1209"/>
      <c r="KN1209"/>
      <c r="KO1209"/>
      <c r="KP1209"/>
      <c r="KQ1209"/>
    </row>
    <row r="1210" spans="227:303" x14ac:dyDescent="0.25">
      <c r="HS1210" s="1"/>
      <c r="HU1210" s="3"/>
      <c r="HV1210" s="3"/>
      <c r="HW1210" s="3"/>
      <c r="HX1210" s="3"/>
      <c r="KL1210"/>
      <c r="KN1210"/>
      <c r="KO1210"/>
      <c r="KP1210"/>
      <c r="KQ1210"/>
    </row>
    <row r="1211" spans="227:303" x14ac:dyDescent="0.25">
      <c r="HS1211" s="1"/>
      <c r="HU1211" s="3"/>
      <c r="HV1211" s="3"/>
      <c r="HW1211" s="3"/>
      <c r="HX1211" s="3"/>
      <c r="KL1211"/>
      <c r="KN1211"/>
      <c r="KO1211"/>
      <c r="KP1211"/>
      <c r="KQ1211"/>
    </row>
    <row r="1212" spans="227:303" x14ac:dyDescent="0.25">
      <c r="HS1212" s="1"/>
      <c r="HU1212" s="3"/>
      <c r="HV1212" s="3"/>
      <c r="HW1212" s="3"/>
      <c r="HX1212" s="3"/>
      <c r="KL1212"/>
      <c r="KN1212"/>
      <c r="KO1212"/>
      <c r="KP1212"/>
      <c r="KQ1212"/>
    </row>
    <row r="1213" spans="227:303" x14ac:dyDescent="0.25">
      <c r="HS1213" s="1"/>
      <c r="HU1213" s="3"/>
      <c r="HV1213" s="3"/>
      <c r="HW1213" s="3"/>
      <c r="HX1213" s="3"/>
      <c r="KL1213"/>
      <c r="KN1213"/>
      <c r="KO1213"/>
      <c r="KP1213"/>
      <c r="KQ1213"/>
    </row>
    <row r="1214" spans="227:303" x14ac:dyDescent="0.25">
      <c r="HS1214" s="1"/>
      <c r="HU1214" s="3"/>
      <c r="HV1214" s="3"/>
      <c r="HW1214" s="3"/>
      <c r="HX1214" s="3"/>
      <c r="KL1214"/>
      <c r="KN1214"/>
      <c r="KO1214"/>
      <c r="KP1214"/>
      <c r="KQ1214"/>
    </row>
    <row r="1215" spans="227:303" x14ac:dyDescent="0.25">
      <c r="HS1215" s="1"/>
      <c r="HU1215" s="3"/>
      <c r="HV1215" s="3"/>
      <c r="HW1215" s="3"/>
      <c r="HX1215" s="3"/>
      <c r="KL1215"/>
      <c r="KN1215"/>
      <c r="KO1215"/>
      <c r="KP1215"/>
      <c r="KQ1215"/>
    </row>
    <row r="1216" spans="227:303" x14ac:dyDescent="0.25">
      <c r="HS1216" s="1"/>
      <c r="HU1216" s="3"/>
      <c r="HV1216" s="3"/>
      <c r="HW1216" s="3"/>
      <c r="HX1216" s="3"/>
      <c r="KL1216"/>
      <c r="KN1216"/>
      <c r="KO1216"/>
      <c r="KP1216"/>
      <c r="KQ1216"/>
    </row>
    <row r="1217" spans="227:303" x14ac:dyDescent="0.25">
      <c r="HS1217" s="1"/>
      <c r="HU1217" s="3"/>
      <c r="HV1217" s="3"/>
      <c r="HW1217" s="3"/>
      <c r="HX1217" s="3"/>
      <c r="KL1217"/>
      <c r="KN1217"/>
      <c r="KO1217"/>
      <c r="KP1217"/>
      <c r="KQ1217"/>
    </row>
    <row r="1218" spans="227:303" x14ac:dyDescent="0.25">
      <c r="HS1218" s="1"/>
      <c r="HU1218" s="3"/>
      <c r="HV1218" s="3"/>
      <c r="HW1218" s="3"/>
      <c r="HX1218" s="3"/>
      <c r="KL1218"/>
      <c r="KN1218"/>
      <c r="KO1218"/>
      <c r="KP1218"/>
      <c r="KQ1218"/>
    </row>
    <row r="1219" spans="227:303" x14ac:dyDescent="0.25">
      <c r="HS1219" s="1"/>
      <c r="HU1219" s="3"/>
      <c r="HV1219" s="3"/>
      <c r="HW1219" s="3"/>
      <c r="HX1219" s="3"/>
      <c r="KL1219"/>
      <c r="KN1219"/>
      <c r="KO1219"/>
      <c r="KP1219"/>
      <c r="KQ1219"/>
    </row>
    <row r="1220" spans="227:303" x14ac:dyDescent="0.25">
      <c r="HS1220" s="1"/>
      <c r="HU1220" s="3"/>
      <c r="HV1220" s="3"/>
      <c r="HW1220" s="3"/>
      <c r="HX1220" s="3"/>
      <c r="KL1220"/>
      <c r="KN1220"/>
      <c r="KO1220"/>
      <c r="KP1220"/>
      <c r="KQ1220"/>
    </row>
    <row r="1221" spans="227:303" x14ac:dyDescent="0.25">
      <c r="HS1221" s="1"/>
      <c r="HU1221" s="3"/>
      <c r="HV1221" s="3"/>
      <c r="HW1221" s="3"/>
      <c r="HX1221" s="3"/>
      <c r="KL1221"/>
      <c r="KN1221"/>
      <c r="KO1221"/>
      <c r="KP1221"/>
      <c r="KQ1221"/>
    </row>
    <row r="1222" spans="227:303" x14ac:dyDescent="0.25">
      <c r="HS1222" s="1"/>
      <c r="HU1222" s="3"/>
      <c r="HV1222" s="3"/>
      <c r="HW1222" s="3"/>
      <c r="HX1222" s="3"/>
      <c r="KL1222"/>
      <c r="KN1222"/>
      <c r="KO1222"/>
      <c r="KP1222"/>
      <c r="KQ1222"/>
    </row>
    <row r="1223" spans="227:303" x14ac:dyDescent="0.25">
      <c r="HS1223" s="1"/>
      <c r="HU1223" s="3"/>
      <c r="HV1223" s="3"/>
      <c r="HW1223" s="3"/>
      <c r="HX1223" s="3"/>
      <c r="KL1223"/>
      <c r="KN1223"/>
      <c r="KO1223"/>
      <c r="KP1223"/>
      <c r="KQ1223"/>
    </row>
    <row r="1224" spans="227:303" x14ac:dyDescent="0.25">
      <c r="HS1224" s="1"/>
      <c r="HU1224" s="3"/>
      <c r="HV1224" s="3"/>
      <c r="HW1224" s="3"/>
      <c r="HX1224" s="3"/>
      <c r="KL1224"/>
      <c r="KN1224"/>
      <c r="KO1224"/>
      <c r="KP1224"/>
      <c r="KQ1224"/>
    </row>
    <row r="1225" spans="227:303" x14ac:dyDescent="0.25">
      <c r="HS1225" s="1"/>
      <c r="HU1225" s="3"/>
      <c r="HV1225" s="3"/>
      <c r="HW1225" s="3"/>
      <c r="HX1225" s="3"/>
      <c r="KL1225"/>
      <c r="KN1225"/>
      <c r="KO1225"/>
      <c r="KP1225"/>
      <c r="KQ1225"/>
    </row>
    <row r="1226" spans="227:303" x14ac:dyDescent="0.25">
      <c r="HS1226" s="1"/>
      <c r="HU1226" s="3"/>
      <c r="HV1226" s="3"/>
      <c r="HW1226" s="3"/>
      <c r="HX1226" s="3"/>
      <c r="KL1226"/>
      <c r="KN1226"/>
      <c r="KO1226"/>
      <c r="KP1226"/>
      <c r="KQ1226"/>
    </row>
    <row r="1227" spans="227:303" x14ac:dyDescent="0.25">
      <c r="HS1227" s="1"/>
      <c r="HU1227" s="3"/>
      <c r="HV1227" s="3"/>
      <c r="HW1227" s="3"/>
      <c r="HX1227" s="3"/>
      <c r="KL1227"/>
      <c r="KN1227"/>
      <c r="KO1227"/>
      <c r="KP1227"/>
      <c r="KQ1227"/>
    </row>
    <row r="1228" spans="227:303" x14ac:dyDescent="0.25">
      <c r="HS1228" s="1"/>
      <c r="HU1228" s="3"/>
      <c r="HV1228" s="3"/>
      <c r="HW1228" s="3"/>
      <c r="HX1228" s="3"/>
      <c r="KL1228"/>
      <c r="KN1228"/>
      <c r="KO1228"/>
      <c r="KP1228"/>
      <c r="KQ1228"/>
    </row>
    <row r="1229" spans="227:303" x14ac:dyDescent="0.25">
      <c r="HS1229" s="1"/>
      <c r="HU1229" s="3"/>
      <c r="HV1229" s="3"/>
      <c r="HW1229" s="3"/>
      <c r="HX1229" s="3"/>
      <c r="KL1229"/>
      <c r="KN1229"/>
      <c r="KO1229"/>
      <c r="KP1229"/>
      <c r="KQ1229"/>
    </row>
    <row r="1230" spans="227:303" x14ac:dyDescent="0.25">
      <c r="HS1230" s="1"/>
      <c r="HU1230" s="3"/>
      <c r="HV1230" s="3"/>
      <c r="HW1230" s="3"/>
      <c r="HX1230" s="3"/>
      <c r="KL1230"/>
      <c r="KN1230"/>
      <c r="KO1230"/>
      <c r="KP1230"/>
      <c r="KQ1230"/>
    </row>
    <row r="1231" spans="227:303" x14ac:dyDescent="0.25">
      <c r="HS1231" s="1"/>
      <c r="HU1231" s="3"/>
      <c r="HV1231" s="3"/>
      <c r="HW1231" s="3"/>
      <c r="HX1231" s="3"/>
      <c r="KL1231"/>
      <c r="KN1231"/>
      <c r="KO1231"/>
      <c r="KP1231"/>
      <c r="KQ1231"/>
    </row>
    <row r="1232" spans="227:303" x14ac:dyDescent="0.25">
      <c r="HS1232" s="1"/>
      <c r="HU1232" s="3"/>
      <c r="HV1232" s="3"/>
      <c r="HW1232" s="3"/>
      <c r="HX1232" s="3"/>
      <c r="KL1232"/>
      <c r="KN1232"/>
      <c r="KO1232"/>
      <c r="KP1232"/>
      <c r="KQ1232"/>
    </row>
    <row r="1233" spans="227:303" x14ac:dyDescent="0.25">
      <c r="HS1233" s="1"/>
      <c r="HU1233" s="3"/>
      <c r="HV1233" s="3"/>
      <c r="HW1233" s="3"/>
      <c r="HX1233" s="3"/>
      <c r="KL1233"/>
      <c r="KN1233"/>
      <c r="KO1233"/>
      <c r="KP1233"/>
      <c r="KQ1233"/>
    </row>
    <row r="1234" spans="227:303" x14ac:dyDescent="0.25">
      <c r="HS1234" s="1"/>
      <c r="HU1234" s="3"/>
      <c r="HV1234" s="3"/>
      <c r="HW1234" s="3"/>
      <c r="HX1234" s="3"/>
      <c r="KL1234"/>
      <c r="KN1234"/>
      <c r="KO1234"/>
      <c r="KP1234"/>
      <c r="KQ1234"/>
    </row>
    <row r="1235" spans="227:303" x14ac:dyDescent="0.25">
      <c r="HS1235" s="1"/>
      <c r="HU1235" s="3"/>
      <c r="HV1235" s="3"/>
      <c r="HW1235" s="3"/>
      <c r="HX1235" s="3"/>
      <c r="KL1235"/>
      <c r="KN1235"/>
      <c r="KO1235"/>
      <c r="KP1235"/>
      <c r="KQ1235"/>
    </row>
    <row r="1236" spans="227:303" x14ac:dyDescent="0.25">
      <c r="HS1236" s="1"/>
      <c r="HU1236" s="3"/>
      <c r="HV1236" s="3"/>
      <c r="HW1236" s="3"/>
      <c r="HX1236" s="3"/>
      <c r="KL1236"/>
      <c r="KN1236"/>
      <c r="KO1236"/>
      <c r="KP1236"/>
      <c r="KQ1236"/>
    </row>
    <row r="1237" spans="227:303" x14ac:dyDescent="0.25">
      <c r="HS1237" s="1"/>
      <c r="HU1237" s="3"/>
      <c r="HV1237" s="3"/>
      <c r="HW1237" s="3"/>
      <c r="HX1237" s="3"/>
      <c r="KL1237"/>
      <c r="KN1237"/>
      <c r="KO1237"/>
      <c r="KP1237"/>
      <c r="KQ1237"/>
    </row>
    <row r="1238" spans="227:303" x14ac:dyDescent="0.25">
      <c r="HS1238" s="1"/>
      <c r="HU1238" s="3"/>
      <c r="HV1238" s="3"/>
      <c r="HW1238" s="3"/>
      <c r="HX1238" s="3"/>
      <c r="KL1238"/>
      <c r="KN1238"/>
      <c r="KO1238"/>
      <c r="KP1238"/>
      <c r="KQ1238"/>
    </row>
    <row r="1239" spans="227:303" x14ac:dyDescent="0.25">
      <c r="HS1239" s="1"/>
      <c r="HU1239" s="3"/>
      <c r="HV1239" s="3"/>
      <c r="HW1239" s="3"/>
      <c r="HX1239" s="3"/>
      <c r="KL1239"/>
      <c r="KN1239"/>
      <c r="KO1239"/>
      <c r="KP1239"/>
      <c r="KQ1239"/>
    </row>
    <row r="1240" spans="227:303" x14ac:dyDescent="0.25">
      <c r="HS1240" s="1"/>
      <c r="HU1240" s="3"/>
      <c r="HV1240" s="3"/>
      <c r="HW1240" s="3"/>
      <c r="HX1240" s="3"/>
      <c r="KL1240"/>
      <c r="KN1240"/>
      <c r="KO1240"/>
      <c r="KP1240"/>
      <c r="KQ1240"/>
    </row>
    <row r="1241" spans="227:303" x14ac:dyDescent="0.25">
      <c r="HS1241" s="1"/>
      <c r="HU1241" s="3"/>
      <c r="HV1241" s="3"/>
      <c r="HW1241" s="3"/>
      <c r="HX1241" s="3"/>
      <c r="KL1241"/>
      <c r="KN1241"/>
      <c r="KO1241"/>
      <c r="KP1241"/>
      <c r="KQ1241"/>
    </row>
    <row r="1242" spans="227:303" x14ac:dyDescent="0.25">
      <c r="HS1242" s="1"/>
      <c r="HU1242" s="3"/>
      <c r="HV1242" s="3"/>
      <c r="HW1242" s="3"/>
      <c r="HX1242" s="3"/>
      <c r="KL1242"/>
      <c r="KN1242"/>
      <c r="KO1242"/>
      <c r="KP1242"/>
      <c r="KQ1242"/>
    </row>
    <row r="1243" spans="227:303" x14ac:dyDescent="0.25">
      <c r="HS1243" s="1"/>
      <c r="HU1243" s="3"/>
      <c r="HV1243" s="3"/>
      <c r="HW1243" s="3"/>
      <c r="HX1243" s="3"/>
      <c r="KL1243"/>
      <c r="KN1243"/>
      <c r="KO1243"/>
      <c r="KP1243"/>
      <c r="KQ1243"/>
    </row>
    <row r="1244" spans="227:303" x14ac:dyDescent="0.25">
      <c r="HS1244" s="1"/>
      <c r="HU1244" s="3"/>
      <c r="HV1244" s="3"/>
      <c r="HW1244" s="3"/>
      <c r="HX1244" s="3"/>
      <c r="KL1244"/>
      <c r="KN1244"/>
      <c r="KO1244"/>
      <c r="KP1244"/>
      <c r="KQ1244"/>
    </row>
    <row r="1245" spans="227:303" x14ac:dyDescent="0.25">
      <c r="HS1245" s="1"/>
      <c r="HU1245" s="3"/>
      <c r="HV1245" s="3"/>
      <c r="HW1245" s="3"/>
      <c r="HX1245" s="3"/>
      <c r="KL1245"/>
      <c r="KN1245"/>
      <c r="KO1245"/>
      <c r="KP1245"/>
      <c r="KQ1245"/>
    </row>
    <row r="1246" spans="227:303" x14ac:dyDescent="0.25">
      <c r="HS1246" s="1"/>
      <c r="HU1246" s="3"/>
      <c r="HV1246" s="3"/>
      <c r="HW1246" s="3"/>
      <c r="HX1246" s="3"/>
      <c r="KL1246"/>
      <c r="KN1246"/>
      <c r="KO1246"/>
      <c r="KP1246"/>
      <c r="KQ1246"/>
    </row>
    <row r="1247" spans="227:303" x14ac:dyDescent="0.25">
      <c r="HS1247" s="1"/>
      <c r="HU1247" s="3"/>
      <c r="HV1247" s="3"/>
      <c r="HW1247" s="3"/>
      <c r="HX1247" s="3"/>
      <c r="KL1247"/>
      <c r="KN1247"/>
      <c r="KO1247"/>
      <c r="KP1247"/>
      <c r="KQ1247"/>
    </row>
    <row r="1248" spans="227:303" x14ac:dyDescent="0.25">
      <c r="HS1248" s="1"/>
      <c r="HU1248" s="3"/>
      <c r="HV1248" s="3"/>
      <c r="HW1248" s="3"/>
      <c r="HX1248" s="3"/>
      <c r="KL1248"/>
      <c r="KN1248"/>
      <c r="KO1248"/>
      <c r="KP1248"/>
      <c r="KQ1248"/>
    </row>
    <row r="1249" spans="227:303" x14ac:dyDescent="0.25">
      <c r="HS1249" s="1"/>
      <c r="HU1249" s="3"/>
      <c r="HV1249" s="3"/>
      <c r="HW1249" s="3"/>
      <c r="HX1249" s="3"/>
      <c r="KL1249"/>
      <c r="KN1249"/>
      <c r="KO1249"/>
      <c r="KP1249"/>
      <c r="KQ1249"/>
    </row>
    <row r="1250" spans="227:303" x14ac:dyDescent="0.25">
      <c r="HS1250" s="1"/>
      <c r="HU1250" s="3"/>
      <c r="HV1250" s="3"/>
      <c r="HW1250" s="3"/>
      <c r="HX1250" s="3"/>
      <c r="KL1250"/>
      <c r="KN1250"/>
      <c r="KO1250"/>
      <c r="KP1250"/>
      <c r="KQ1250"/>
    </row>
    <row r="1251" spans="227:303" x14ac:dyDescent="0.25">
      <c r="HS1251" s="1"/>
      <c r="HU1251" s="3"/>
      <c r="HV1251" s="3"/>
      <c r="HW1251" s="3"/>
      <c r="HX1251" s="3"/>
      <c r="KL1251"/>
      <c r="KN1251"/>
      <c r="KO1251"/>
      <c r="KP1251"/>
      <c r="KQ1251"/>
    </row>
    <row r="1252" spans="227:303" x14ac:dyDescent="0.25">
      <c r="HS1252" s="1"/>
      <c r="HU1252" s="3"/>
      <c r="HV1252" s="3"/>
      <c r="HW1252" s="3"/>
      <c r="HX1252" s="3"/>
      <c r="KL1252"/>
      <c r="KN1252"/>
      <c r="KO1252"/>
      <c r="KP1252"/>
      <c r="KQ1252"/>
    </row>
    <row r="1253" spans="227:303" x14ac:dyDescent="0.25">
      <c r="HS1253" s="1"/>
      <c r="HU1253" s="3"/>
      <c r="HV1253" s="3"/>
      <c r="HW1253" s="3"/>
      <c r="HX1253" s="3"/>
      <c r="KL1253"/>
      <c r="KN1253"/>
      <c r="KO1253"/>
      <c r="KP1253"/>
      <c r="KQ1253"/>
    </row>
    <row r="1254" spans="227:303" x14ac:dyDescent="0.25">
      <c r="HS1254" s="1"/>
      <c r="HU1254" s="3"/>
      <c r="HV1254" s="3"/>
      <c r="HW1254" s="3"/>
      <c r="HX1254" s="3"/>
      <c r="KL1254"/>
      <c r="KN1254"/>
      <c r="KO1254"/>
      <c r="KP1254"/>
      <c r="KQ1254"/>
    </row>
    <row r="1255" spans="227:303" x14ac:dyDescent="0.25">
      <c r="HS1255" s="1"/>
      <c r="HU1255" s="3"/>
      <c r="HV1255" s="3"/>
      <c r="HW1255" s="3"/>
      <c r="HX1255" s="3"/>
      <c r="KL1255"/>
      <c r="KN1255"/>
      <c r="KO1255"/>
      <c r="KP1255"/>
      <c r="KQ1255"/>
    </row>
    <row r="1256" spans="227:303" x14ac:dyDescent="0.25">
      <c r="HS1256" s="1"/>
      <c r="HU1256" s="3"/>
      <c r="HV1256" s="3"/>
      <c r="HW1256" s="3"/>
      <c r="HX1256" s="3"/>
      <c r="KL1256"/>
      <c r="KN1256"/>
      <c r="KO1256"/>
      <c r="KP1256"/>
      <c r="KQ1256"/>
    </row>
    <row r="1257" spans="227:303" x14ac:dyDescent="0.25">
      <c r="HS1257" s="1"/>
      <c r="HU1257" s="3"/>
      <c r="HV1257" s="3"/>
      <c r="HW1257" s="3"/>
      <c r="HX1257" s="3"/>
      <c r="KL1257"/>
      <c r="KN1257"/>
      <c r="KO1257"/>
      <c r="KP1257"/>
      <c r="KQ1257"/>
    </row>
    <row r="1258" spans="227:303" x14ac:dyDescent="0.25">
      <c r="HS1258" s="1"/>
      <c r="HU1258" s="3"/>
      <c r="HV1258" s="3"/>
      <c r="HW1258" s="3"/>
      <c r="HX1258" s="3"/>
      <c r="KL1258"/>
      <c r="KN1258"/>
      <c r="KO1258"/>
      <c r="KP1258"/>
      <c r="KQ1258"/>
    </row>
    <row r="1259" spans="227:303" x14ac:dyDescent="0.25">
      <c r="HS1259" s="1"/>
      <c r="HU1259" s="3"/>
      <c r="HV1259" s="3"/>
      <c r="HW1259" s="3"/>
      <c r="HX1259" s="3"/>
      <c r="KL1259"/>
      <c r="KN1259"/>
      <c r="KO1259"/>
      <c r="KP1259"/>
      <c r="KQ1259"/>
    </row>
    <row r="1260" spans="227:303" x14ac:dyDescent="0.25">
      <c r="HS1260" s="1"/>
      <c r="HU1260" s="3"/>
      <c r="HV1260" s="3"/>
      <c r="HW1260" s="3"/>
      <c r="HX1260" s="3"/>
      <c r="KL1260"/>
      <c r="KN1260"/>
      <c r="KO1260"/>
      <c r="KP1260"/>
      <c r="KQ1260"/>
    </row>
    <row r="1261" spans="227:303" x14ac:dyDescent="0.25">
      <c r="HS1261" s="1"/>
      <c r="HU1261" s="3"/>
      <c r="HV1261" s="3"/>
      <c r="HW1261" s="3"/>
      <c r="HX1261" s="3"/>
      <c r="KL1261"/>
      <c r="KN1261"/>
      <c r="KO1261"/>
      <c r="KP1261"/>
      <c r="KQ1261"/>
    </row>
    <row r="1262" spans="227:303" x14ac:dyDescent="0.25">
      <c r="HS1262" s="1"/>
      <c r="HU1262" s="3"/>
      <c r="HV1262" s="3"/>
      <c r="HW1262" s="3"/>
      <c r="HX1262" s="3"/>
      <c r="KL1262"/>
      <c r="KN1262"/>
      <c r="KO1262"/>
      <c r="KP1262"/>
      <c r="KQ1262"/>
    </row>
    <row r="1263" spans="227:303" x14ac:dyDescent="0.25">
      <c r="HS1263" s="1"/>
      <c r="HU1263" s="3"/>
      <c r="HV1263" s="3"/>
      <c r="HW1263" s="3"/>
      <c r="HX1263" s="3"/>
      <c r="KL1263"/>
      <c r="KN1263"/>
      <c r="KO1263"/>
      <c r="KP1263"/>
      <c r="KQ1263"/>
    </row>
    <row r="1264" spans="227:303" x14ac:dyDescent="0.25">
      <c r="HS1264" s="1"/>
      <c r="HU1264" s="3"/>
      <c r="HV1264" s="3"/>
      <c r="HW1264" s="3"/>
      <c r="HX1264" s="3"/>
      <c r="KL1264"/>
      <c r="KN1264"/>
      <c r="KO1264"/>
      <c r="KP1264"/>
      <c r="KQ1264"/>
    </row>
    <row r="1265" spans="227:303" x14ac:dyDescent="0.25">
      <c r="HS1265" s="1"/>
      <c r="HU1265" s="3"/>
      <c r="HV1265" s="3"/>
      <c r="HW1265" s="3"/>
      <c r="HX1265" s="3"/>
      <c r="KL1265"/>
      <c r="KN1265"/>
      <c r="KO1265"/>
      <c r="KP1265"/>
      <c r="KQ1265"/>
    </row>
    <row r="1266" spans="227:303" x14ac:dyDescent="0.25">
      <c r="HS1266" s="1"/>
      <c r="HU1266" s="3"/>
      <c r="HV1266" s="3"/>
      <c r="HW1266" s="3"/>
      <c r="HX1266" s="3"/>
      <c r="KL1266"/>
      <c r="KN1266"/>
      <c r="KO1266"/>
      <c r="KP1266"/>
      <c r="KQ1266"/>
    </row>
    <row r="1267" spans="227:303" x14ac:dyDescent="0.25">
      <c r="HS1267" s="1"/>
      <c r="HU1267" s="3"/>
      <c r="HV1267" s="3"/>
      <c r="HW1267" s="3"/>
      <c r="HX1267" s="3"/>
      <c r="KL1267"/>
      <c r="KN1267"/>
      <c r="KO1267"/>
      <c r="KP1267"/>
      <c r="KQ1267"/>
    </row>
    <row r="1268" spans="227:303" x14ac:dyDescent="0.25">
      <c r="HS1268" s="1"/>
      <c r="HU1268" s="3"/>
      <c r="HV1268" s="3"/>
      <c r="HW1268" s="3"/>
      <c r="HX1268" s="3"/>
      <c r="KL1268"/>
      <c r="KN1268"/>
      <c r="KO1268"/>
      <c r="KP1268"/>
      <c r="KQ1268"/>
    </row>
    <row r="1269" spans="227:303" x14ac:dyDescent="0.25">
      <c r="HS1269" s="1"/>
      <c r="HU1269" s="3"/>
      <c r="HV1269" s="3"/>
      <c r="HW1269" s="3"/>
      <c r="HX1269" s="3"/>
      <c r="KL1269"/>
      <c r="KN1269"/>
      <c r="KO1269"/>
      <c r="KP1269"/>
      <c r="KQ1269"/>
    </row>
    <row r="1270" spans="227:303" x14ac:dyDescent="0.25">
      <c r="HS1270" s="1"/>
      <c r="HU1270" s="3"/>
      <c r="HV1270" s="3"/>
      <c r="HW1270" s="3"/>
      <c r="HX1270" s="3"/>
      <c r="KL1270"/>
      <c r="KN1270"/>
      <c r="KO1270"/>
      <c r="KP1270"/>
      <c r="KQ1270"/>
    </row>
    <row r="1271" spans="227:303" x14ac:dyDescent="0.25">
      <c r="HS1271" s="1"/>
      <c r="HU1271" s="3"/>
      <c r="HV1271" s="3"/>
      <c r="HW1271" s="3"/>
      <c r="HX1271" s="3"/>
      <c r="KL1271"/>
      <c r="KN1271"/>
      <c r="KO1271"/>
      <c r="KP1271"/>
      <c r="KQ1271"/>
    </row>
    <row r="1272" spans="227:303" x14ac:dyDescent="0.25">
      <c r="HS1272" s="1"/>
      <c r="HU1272" s="3"/>
      <c r="HV1272" s="3"/>
      <c r="HW1272" s="3"/>
      <c r="HX1272" s="3"/>
      <c r="KL1272"/>
      <c r="KN1272"/>
      <c r="KO1272"/>
      <c r="KP1272"/>
      <c r="KQ1272"/>
    </row>
    <row r="1273" spans="227:303" x14ac:dyDescent="0.25">
      <c r="HS1273" s="1"/>
      <c r="HU1273" s="3"/>
      <c r="HV1273" s="3"/>
      <c r="HW1273" s="3"/>
      <c r="HX1273" s="3"/>
      <c r="KL1273"/>
      <c r="KN1273"/>
      <c r="KO1273"/>
      <c r="KP1273"/>
      <c r="KQ1273"/>
    </row>
    <row r="1274" spans="227:303" x14ac:dyDescent="0.25">
      <c r="HS1274" s="1"/>
      <c r="HU1274" s="3"/>
      <c r="HV1274" s="3"/>
      <c r="HW1274" s="3"/>
      <c r="HX1274" s="3"/>
      <c r="KL1274"/>
      <c r="KN1274"/>
      <c r="KO1274"/>
      <c r="KP1274"/>
      <c r="KQ1274"/>
    </row>
    <row r="1275" spans="227:303" x14ac:dyDescent="0.25">
      <c r="HS1275" s="1"/>
      <c r="HU1275" s="3"/>
      <c r="HV1275" s="3"/>
      <c r="HW1275" s="3"/>
      <c r="HX1275" s="3"/>
      <c r="KL1275"/>
      <c r="KN1275"/>
      <c r="KO1275"/>
      <c r="KP1275"/>
      <c r="KQ1275"/>
    </row>
    <row r="1276" spans="227:303" x14ac:dyDescent="0.25">
      <c r="HS1276" s="1"/>
      <c r="HU1276" s="3"/>
      <c r="HV1276" s="3"/>
      <c r="HW1276" s="3"/>
      <c r="HX1276" s="3"/>
      <c r="KL1276"/>
      <c r="KN1276"/>
      <c r="KO1276"/>
      <c r="KP1276"/>
      <c r="KQ1276"/>
    </row>
    <row r="1277" spans="227:303" x14ac:dyDescent="0.25">
      <c r="HS1277" s="1"/>
      <c r="HU1277" s="3"/>
      <c r="HV1277" s="3"/>
      <c r="HW1277" s="3"/>
      <c r="HX1277" s="3"/>
      <c r="KL1277"/>
      <c r="KN1277"/>
      <c r="KO1277"/>
      <c r="KP1277"/>
      <c r="KQ1277"/>
    </row>
    <row r="1278" spans="227:303" x14ac:dyDescent="0.25">
      <c r="HS1278" s="1"/>
      <c r="HU1278" s="3"/>
      <c r="HV1278" s="3"/>
      <c r="HW1278" s="3"/>
      <c r="HX1278" s="3"/>
      <c r="KL1278"/>
      <c r="KN1278"/>
      <c r="KO1278"/>
      <c r="KP1278"/>
      <c r="KQ1278"/>
    </row>
    <row r="1279" spans="227:303" x14ac:dyDescent="0.25">
      <c r="HS1279" s="1"/>
      <c r="HU1279" s="3"/>
      <c r="HV1279" s="3"/>
      <c r="HW1279" s="3"/>
      <c r="HX1279" s="3"/>
      <c r="KL1279"/>
      <c r="KN1279"/>
      <c r="KO1279"/>
      <c r="KP1279"/>
      <c r="KQ1279"/>
    </row>
    <row r="1280" spans="227:303" x14ac:dyDescent="0.25">
      <c r="HS1280" s="1"/>
      <c r="HU1280" s="3"/>
      <c r="HV1280" s="3"/>
      <c r="HW1280" s="3"/>
      <c r="HX1280" s="3"/>
      <c r="KL1280"/>
      <c r="KN1280"/>
      <c r="KO1280"/>
      <c r="KP1280"/>
      <c r="KQ1280"/>
    </row>
    <row r="1281" spans="227:303" x14ac:dyDescent="0.25">
      <c r="HS1281" s="1"/>
      <c r="HU1281" s="3"/>
      <c r="HV1281" s="3"/>
      <c r="HW1281" s="3"/>
      <c r="HX1281" s="3"/>
      <c r="KL1281"/>
      <c r="KN1281"/>
      <c r="KO1281"/>
      <c r="KP1281"/>
      <c r="KQ1281"/>
    </row>
    <row r="1282" spans="227:303" x14ac:dyDescent="0.25">
      <c r="HS1282" s="1"/>
      <c r="HU1282" s="3"/>
      <c r="HV1282" s="3"/>
      <c r="HW1282" s="3"/>
      <c r="HX1282" s="3"/>
      <c r="KL1282"/>
      <c r="KN1282"/>
      <c r="KO1282"/>
      <c r="KP1282"/>
      <c r="KQ1282"/>
    </row>
    <row r="1283" spans="227:303" x14ac:dyDescent="0.25">
      <c r="HS1283" s="1"/>
      <c r="HU1283" s="3"/>
      <c r="HV1283" s="3"/>
      <c r="HW1283" s="3"/>
      <c r="HX1283" s="3"/>
      <c r="KL1283"/>
      <c r="KN1283"/>
      <c r="KO1283"/>
      <c r="KP1283"/>
      <c r="KQ1283"/>
    </row>
    <row r="1284" spans="227:303" x14ac:dyDescent="0.25">
      <c r="HS1284" s="1"/>
      <c r="HU1284" s="3"/>
      <c r="HV1284" s="3"/>
      <c r="HW1284" s="3"/>
      <c r="HX1284" s="3"/>
      <c r="KL1284"/>
      <c r="KN1284"/>
      <c r="KO1284"/>
      <c r="KP1284"/>
      <c r="KQ1284"/>
    </row>
    <row r="1285" spans="227:303" x14ac:dyDescent="0.25">
      <c r="HS1285" s="1"/>
      <c r="HU1285" s="3"/>
      <c r="HV1285" s="3"/>
      <c r="HW1285" s="3"/>
      <c r="HX1285" s="3"/>
      <c r="KL1285"/>
      <c r="KN1285"/>
      <c r="KO1285"/>
      <c r="KP1285"/>
      <c r="KQ1285"/>
    </row>
    <row r="1286" spans="227:303" x14ac:dyDescent="0.25">
      <c r="HS1286" s="1"/>
      <c r="HU1286" s="3"/>
      <c r="HV1286" s="3"/>
      <c r="HW1286" s="3"/>
      <c r="HX1286" s="3"/>
      <c r="KL1286"/>
      <c r="KN1286"/>
      <c r="KO1286"/>
      <c r="KP1286"/>
      <c r="KQ1286"/>
    </row>
    <row r="1287" spans="227:303" x14ac:dyDescent="0.25">
      <c r="HS1287" s="1"/>
      <c r="HU1287" s="3"/>
      <c r="HV1287" s="3"/>
      <c r="HW1287" s="3"/>
      <c r="HX1287" s="3"/>
      <c r="KL1287"/>
      <c r="KN1287"/>
      <c r="KO1287"/>
      <c r="KP1287"/>
      <c r="KQ1287"/>
    </row>
    <row r="1288" spans="227:303" x14ac:dyDescent="0.25">
      <c r="HS1288" s="1"/>
      <c r="HU1288" s="3"/>
      <c r="HV1288" s="3"/>
      <c r="HW1288" s="3"/>
      <c r="HX1288" s="3"/>
      <c r="KL1288"/>
      <c r="KN1288"/>
      <c r="KO1288"/>
      <c r="KP1288"/>
      <c r="KQ1288"/>
    </row>
    <row r="1289" spans="227:303" x14ac:dyDescent="0.25">
      <c r="HS1289" s="1"/>
      <c r="HU1289" s="3"/>
      <c r="HV1289" s="3"/>
      <c r="HW1289" s="3"/>
      <c r="HX1289" s="3"/>
      <c r="KL1289"/>
      <c r="KN1289"/>
      <c r="KO1289"/>
      <c r="KP1289"/>
      <c r="KQ1289"/>
    </row>
    <row r="1290" spans="227:303" x14ac:dyDescent="0.25">
      <c r="HS1290" s="1"/>
      <c r="HU1290" s="3"/>
      <c r="HV1290" s="3"/>
      <c r="HW1290" s="3"/>
      <c r="HX1290" s="3"/>
      <c r="KL1290"/>
      <c r="KN1290"/>
      <c r="KO1290"/>
      <c r="KP1290"/>
      <c r="KQ1290"/>
    </row>
    <row r="1291" spans="227:303" x14ac:dyDescent="0.25">
      <c r="HS1291" s="1"/>
      <c r="HU1291" s="3"/>
      <c r="HV1291" s="3"/>
      <c r="HW1291" s="3"/>
      <c r="HX1291" s="3"/>
      <c r="KL1291"/>
      <c r="KN1291"/>
      <c r="KO1291"/>
      <c r="KP1291"/>
      <c r="KQ1291"/>
    </row>
    <row r="1292" spans="227:303" x14ac:dyDescent="0.25">
      <c r="HS1292" s="1"/>
      <c r="HU1292" s="3"/>
      <c r="HV1292" s="3"/>
      <c r="HW1292" s="3"/>
      <c r="HX1292" s="3"/>
      <c r="KL1292"/>
      <c r="KN1292"/>
      <c r="KO1292"/>
      <c r="KP1292"/>
      <c r="KQ1292"/>
    </row>
    <row r="1293" spans="227:303" x14ac:dyDescent="0.25">
      <c r="HS1293" s="1"/>
      <c r="HU1293" s="3"/>
      <c r="HV1293" s="3"/>
      <c r="HW1293" s="3"/>
      <c r="HX1293" s="3"/>
      <c r="KL1293"/>
      <c r="KN1293"/>
      <c r="KO1293"/>
      <c r="KP1293"/>
      <c r="KQ1293"/>
    </row>
    <row r="1294" spans="227:303" x14ac:dyDescent="0.25">
      <c r="HS1294" s="1"/>
      <c r="HU1294" s="3"/>
      <c r="HV1294" s="3"/>
      <c r="HW1294" s="3"/>
      <c r="HX1294" s="3"/>
      <c r="KL1294"/>
      <c r="KN1294"/>
      <c r="KO1294"/>
      <c r="KP1294"/>
      <c r="KQ1294"/>
    </row>
    <row r="1295" spans="227:303" x14ac:dyDescent="0.25">
      <c r="HS1295" s="1"/>
      <c r="HU1295" s="3"/>
      <c r="HV1295" s="3"/>
      <c r="HW1295" s="3"/>
      <c r="HX1295" s="3"/>
      <c r="KL1295"/>
      <c r="KN1295"/>
      <c r="KO1295"/>
      <c r="KP1295"/>
      <c r="KQ1295"/>
    </row>
    <row r="1296" spans="227:303" x14ac:dyDescent="0.25">
      <c r="HS1296" s="1"/>
      <c r="HU1296" s="3"/>
      <c r="HV1296" s="3"/>
      <c r="HW1296" s="3"/>
      <c r="HX1296" s="3"/>
      <c r="KL1296"/>
      <c r="KN1296"/>
      <c r="KO1296"/>
      <c r="KP1296"/>
      <c r="KQ1296"/>
    </row>
    <row r="1297" spans="227:303" x14ac:dyDescent="0.25">
      <c r="HS1297" s="1"/>
      <c r="HU1297" s="3"/>
      <c r="HV1297" s="3"/>
      <c r="HW1297" s="3"/>
      <c r="HX1297" s="3"/>
      <c r="KL1297"/>
      <c r="KN1297"/>
      <c r="KO1297"/>
      <c r="KP1297"/>
      <c r="KQ1297"/>
    </row>
    <row r="1298" spans="227:303" x14ac:dyDescent="0.25">
      <c r="HS1298" s="1"/>
      <c r="HU1298" s="3"/>
      <c r="HV1298" s="3"/>
      <c r="HW1298" s="3"/>
      <c r="HX1298" s="3"/>
      <c r="KL1298"/>
      <c r="KN1298"/>
      <c r="KO1298"/>
      <c r="KP1298"/>
      <c r="KQ1298"/>
    </row>
    <row r="1299" spans="227:303" x14ac:dyDescent="0.25">
      <c r="HS1299" s="1"/>
      <c r="HU1299" s="3"/>
      <c r="HV1299" s="3"/>
      <c r="HW1299" s="3"/>
      <c r="HX1299" s="3"/>
      <c r="KL1299"/>
      <c r="KN1299"/>
      <c r="KO1299"/>
      <c r="KP1299"/>
      <c r="KQ1299"/>
    </row>
    <row r="1300" spans="227:303" x14ac:dyDescent="0.25">
      <c r="HS1300" s="1"/>
      <c r="HU1300" s="3"/>
      <c r="HV1300" s="3"/>
      <c r="HW1300" s="3"/>
      <c r="HX1300" s="3"/>
      <c r="KL1300"/>
      <c r="KN1300"/>
      <c r="KO1300"/>
      <c r="KP1300"/>
      <c r="KQ1300"/>
    </row>
    <row r="1301" spans="227:303" x14ac:dyDescent="0.25">
      <c r="HS1301" s="1"/>
      <c r="HU1301" s="3"/>
      <c r="HV1301" s="3"/>
      <c r="HW1301" s="3"/>
      <c r="HX1301" s="3"/>
      <c r="KL1301"/>
      <c r="KN1301"/>
      <c r="KO1301"/>
      <c r="KP1301"/>
      <c r="KQ1301"/>
    </row>
    <row r="1302" spans="227:303" x14ac:dyDescent="0.25">
      <c r="HS1302" s="1"/>
      <c r="HU1302" s="3"/>
      <c r="HV1302" s="3"/>
      <c r="HW1302" s="3"/>
      <c r="HX1302" s="3"/>
      <c r="KL1302"/>
      <c r="KN1302"/>
      <c r="KO1302"/>
      <c r="KP1302"/>
      <c r="KQ1302"/>
    </row>
    <row r="1303" spans="227:303" x14ac:dyDescent="0.25">
      <c r="HS1303" s="1"/>
      <c r="HU1303" s="3"/>
      <c r="HV1303" s="3"/>
      <c r="HW1303" s="3"/>
      <c r="HX1303" s="3"/>
      <c r="KL1303"/>
      <c r="KN1303"/>
      <c r="KO1303"/>
      <c r="KP1303"/>
      <c r="KQ1303"/>
    </row>
    <row r="1304" spans="227:303" x14ac:dyDescent="0.25">
      <c r="HS1304" s="1"/>
      <c r="HU1304" s="3"/>
      <c r="HV1304" s="3"/>
      <c r="HW1304" s="3"/>
      <c r="HX1304" s="3"/>
      <c r="KL1304"/>
      <c r="KN1304"/>
      <c r="KO1304"/>
      <c r="KP1304"/>
      <c r="KQ1304"/>
    </row>
    <row r="1305" spans="227:303" x14ac:dyDescent="0.25">
      <c r="HS1305" s="1"/>
      <c r="HU1305" s="3"/>
      <c r="HV1305" s="3"/>
      <c r="HW1305" s="3"/>
      <c r="HX1305" s="3"/>
      <c r="KL1305"/>
      <c r="KN1305"/>
      <c r="KO1305"/>
      <c r="KP1305"/>
      <c r="KQ1305"/>
    </row>
    <row r="1306" spans="227:303" x14ac:dyDescent="0.25">
      <c r="HS1306" s="1"/>
      <c r="HU1306" s="3"/>
      <c r="HV1306" s="3"/>
      <c r="HW1306" s="3"/>
      <c r="HX1306" s="3"/>
      <c r="KL1306"/>
      <c r="KN1306"/>
      <c r="KO1306"/>
      <c r="KP1306"/>
      <c r="KQ1306"/>
    </row>
    <row r="1307" spans="227:303" x14ac:dyDescent="0.25">
      <c r="HS1307" s="1"/>
      <c r="HU1307" s="3"/>
      <c r="HV1307" s="3"/>
      <c r="HW1307" s="3"/>
      <c r="HX1307" s="3"/>
      <c r="KL1307"/>
      <c r="KN1307"/>
      <c r="KO1307"/>
      <c r="KP1307"/>
      <c r="KQ1307"/>
    </row>
    <row r="1308" spans="227:303" x14ac:dyDescent="0.25">
      <c r="HS1308" s="1"/>
      <c r="HU1308" s="3"/>
      <c r="HV1308" s="3"/>
      <c r="HW1308" s="3"/>
      <c r="HX1308" s="3"/>
      <c r="KL1308"/>
      <c r="KN1308"/>
      <c r="KO1308"/>
      <c r="KP1308"/>
      <c r="KQ1308"/>
    </row>
    <row r="1309" spans="227:303" x14ac:dyDescent="0.25">
      <c r="HS1309" s="1"/>
      <c r="HU1309" s="3"/>
      <c r="HV1309" s="3"/>
      <c r="HW1309" s="3"/>
      <c r="HX1309" s="3"/>
      <c r="KL1309"/>
      <c r="KN1309"/>
      <c r="KO1309"/>
      <c r="KP1309"/>
      <c r="KQ1309"/>
    </row>
    <row r="1310" spans="227:303" x14ac:dyDescent="0.25">
      <c r="HS1310" s="1"/>
      <c r="HU1310" s="3"/>
      <c r="HV1310" s="3"/>
      <c r="HW1310" s="3"/>
      <c r="HX1310" s="3"/>
      <c r="KL1310"/>
      <c r="KN1310"/>
      <c r="KO1310"/>
      <c r="KP1310"/>
      <c r="KQ1310"/>
    </row>
    <row r="1311" spans="227:303" x14ac:dyDescent="0.25">
      <c r="HS1311" s="1"/>
      <c r="HU1311" s="3"/>
      <c r="HV1311" s="3"/>
      <c r="HW1311" s="3"/>
      <c r="HX1311" s="3"/>
      <c r="KL1311"/>
      <c r="KN1311"/>
      <c r="KO1311"/>
      <c r="KP1311"/>
      <c r="KQ1311"/>
    </row>
    <row r="1312" spans="227:303" x14ac:dyDescent="0.25">
      <c r="HS1312" s="1"/>
      <c r="HU1312" s="3"/>
      <c r="HV1312" s="3"/>
      <c r="HW1312" s="3"/>
      <c r="HX1312" s="3"/>
      <c r="KL1312"/>
      <c r="KN1312"/>
      <c r="KO1312"/>
      <c r="KP1312"/>
      <c r="KQ1312"/>
    </row>
    <row r="1313" spans="227:303" x14ac:dyDescent="0.25">
      <c r="HS1313" s="1"/>
      <c r="HU1313" s="3"/>
      <c r="HV1313" s="3"/>
      <c r="HW1313" s="3"/>
      <c r="HX1313" s="3"/>
      <c r="KL1313"/>
      <c r="KN1313"/>
      <c r="KO1313"/>
      <c r="KP1313"/>
      <c r="KQ1313"/>
    </row>
    <row r="1314" spans="227:303" x14ac:dyDescent="0.25">
      <c r="HS1314" s="1"/>
      <c r="HU1314" s="3"/>
      <c r="HV1314" s="3"/>
      <c r="HW1314" s="3"/>
      <c r="HX1314" s="3"/>
      <c r="KL1314"/>
      <c r="KN1314"/>
      <c r="KO1314"/>
      <c r="KP1314"/>
      <c r="KQ1314"/>
    </row>
    <row r="1315" spans="227:303" x14ac:dyDescent="0.25">
      <c r="HS1315" s="1"/>
      <c r="HU1315" s="3"/>
      <c r="HV1315" s="3"/>
      <c r="HW1315" s="3"/>
      <c r="HX1315" s="3"/>
      <c r="KL1315"/>
      <c r="KN1315"/>
      <c r="KO1315"/>
      <c r="KP1315"/>
      <c r="KQ1315"/>
    </row>
    <row r="1316" spans="227:303" x14ac:dyDescent="0.25">
      <c r="HS1316" s="1"/>
      <c r="HU1316" s="3"/>
      <c r="HV1316" s="3"/>
      <c r="HW1316" s="3"/>
      <c r="HX1316" s="3"/>
      <c r="KL1316"/>
      <c r="KN1316"/>
      <c r="KO1316"/>
      <c r="KP1316"/>
      <c r="KQ1316"/>
    </row>
    <row r="1317" spans="227:303" x14ac:dyDescent="0.25">
      <c r="HS1317" s="1"/>
      <c r="HU1317" s="3"/>
      <c r="HV1317" s="3"/>
      <c r="HW1317" s="3"/>
      <c r="HX1317" s="3"/>
      <c r="KL1317"/>
      <c r="KN1317"/>
      <c r="KO1317"/>
      <c r="KP1317"/>
      <c r="KQ1317"/>
    </row>
    <row r="1318" spans="227:303" x14ac:dyDescent="0.25">
      <c r="HS1318" s="1"/>
      <c r="HU1318" s="3"/>
      <c r="HV1318" s="3"/>
      <c r="HW1318" s="3"/>
      <c r="HX1318" s="3"/>
      <c r="KL1318"/>
      <c r="KN1318"/>
      <c r="KO1318"/>
      <c r="KP1318"/>
      <c r="KQ1318"/>
    </row>
    <row r="1319" spans="227:303" x14ac:dyDescent="0.25">
      <c r="HS1319" s="1"/>
      <c r="HU1319" s="3"/>
      <c r="HV1319" s="3"/>
      <c r="HW1319" s="3"/>
      <c r="HX1319" s="3"/>
      <c r="KL1319"/>
      <c r="KN1319"/>
      <c r="KO1319"/>
      <c r="KP1319"/>
      <c r="KQ1319"/>
    </row>
    <row r="1320" spans="227:303" x14ac:dyDescent="0.25">
      <c r="HS1320" s="1"/>
      <c r="HU1320" s="3"/>
      <c r="HV1320" s="3"/>
      <c r="HW1320" s="3"/>
      <c r="HX1320" s="3"/>
      <c r="KL1320"/>
      <c r="KN1320"/>
      <c r="KO1320"/>
      <c r="KP1320"/>
      <c r="KQ1320"/>
    </row>
    <row r="1321" spans="227:303" x14ac:dyDescent="0.25">
      <c r="HS1321" s="1"/>
      <c r="HU1321" s="3"/>
      <c r="HV1321" s="3"/>
      <c r="HW1321" s="3"/>
      <c r="HX1321" s="3"/>
      <c r="KL1321"/>
      <c r="KN1321"/>
      <c r="KO1321"/>
      <c r="KP1321"/>
      <c r="KQ1321"/>
    </row>
    <row r="1322" spans="227:303" x14ac:dyDescent="0.25">
      <c r="HS1322" s="1"/>
      <c r="HU1322" s="3"/>
      <c r="HV1322" s="3"/>
      <c r="HW1322" s="3"/>
      <c r="HX1322" s="3"/>
      <c r="KL1322"/>
      <c r="KN1322"/>
      <c r="KO1322"/>
      <c r="KP1322"/>
      <c r="KQ1322"/>
    </row>
    <row r="1323" spans="227:303" x14ac:dyDescent="0.25">
      <c r="HS1323" s="1"/>
      <c r="HU1323" s="3"/>
      <c r="HV1323" s="3"/>
      <c r="HW1323" s="3"/>
      <c r="HX1323" s="3"/>
      <c r="KL1323"/>
      <c r="KN1323"/>
      <c r="KO1323"/>
      <c r="KP1323"/>
      <c r="KQ1323"/>
    </row>
    <row r="1324" spans="227:303" x14ac:dyDescent="0.25">
      <c r="HS1324" s="1"/>
      <c r="HU1324" s="3"/>
      <c r="HV1324" s="3"/>
      <c r="HW1324" s="3"/>
      <c r="HX1324" s="3"/>
      <c r="KL1324"/>
      <c r="KN1324"/>
      <c r="KO1324"/>
      <c r="KP1324"/>
      <c r="KQ1324"/>
    </row>
    <row r="1325" spans="227:303" x14ac:dyDescent="0.25">
      <c r="HS1325" s="1"/>
      <c r="HU1325" s="3"/>
      <c r="HV1325" s="3"/>
      <c r="HW1325" s="3"/>
      <c r="HX1325" s="3"/>
      <c r="KL1325"/>
      <c r="KN1325"/>
      <c r="KO1325"/>
      <c r="KP1325"/>
      <c r="KQ1325"/>
    </row>
    <row r="1326" spans="227:303" x14ac:dyDescent="0.25">
      <c r="HS1326" s="1"/>
      <c r="HU1326" s="3"/>
      <c r="HV1326" s="3"/>
      <c r="HW1326" s="3"/>
      <c r="HX1326" s="3"/>
      <c r="KL1326"/>
      <c r="KN1326"/>
      <c r="KO1326"/>
      <c r="KP1326"/>
      <c r="KQ1326"/>
    </row>
    <row r="1327" spans="227:303" x14ac:dyDescent="0.25">
      <c r="HS1327" s="1"/>
      <c r="HU1327" s="3"/>
      <c r="HV1327" s="3"/>
      <c r="HW1327" s="3"/>
      <c r="HX1327" s="3"/>
      <c r="KL1327"/>
      <c r="KN1327"/>
      <c r="KO1327"/>
      <c r="KP1327"/>
      <c r="KQ1327"/>
    </row>
    <row r="1328" spans="227:303" x14ac:dyDescent="0.25">
      <c r="HU1328" s="1"/>
      <c r="HW1328" s="3"/>
      <c r="HX1328" s="3"/>
      <c r="HY1328" s="3"/>
      <c r="HZ1328" s="3"/>
      <c r="KL1328"/>
      <c r="KN1328"/>
      <c r="KO1328"/>
      <c r="KP1328"/>
      <c r="KQ1328"/>
    </row>
    <row r="1329" spans="229:303" x14ac:dyDescent="0.25">
      <c r="HU1329" s="1"/>
      <c r="HW1329" s="3"/>
      <c r="HX1329" s="3"/>
      <c r="HY1329" s="3"/>
      <c r="HZ1329" s="3"/>
      <c r="KL1329"/>
      <c r="KN1329"/>
      <c r="KO1329"/>
      <c r="KP1329"/>
      <c r="KQ1329"/>
    </row>
    <row r="1330" spans="229:303" x14ac:dyDescent="0.25">
      <c r="HU1330" s="1"/>
      <c r="HW1330" s="3"/>
      <c r="HX1330" s="3"/>
      <c r="HY1330" s="3"/>
      <c r="HZ1330" s="3"/>
      <c r="KL1330"/>
      <c r="KN1330"/>
      <c r="KO1330"/>
      <c r="KP1330"/>
      <c r="KQ1330"/>
    </row>
    <row r="1331" spans="229:303" x14ac:dyDescent="0.25">
      <c r="HU1331" s="1"/>
      <c r="HW1331" s="3"/>
      <c r="HX1331" s="3"/>
      <c r="HY1331" s="3"/>
      <c r="HZ1331" s="3"/>
      <c r="KL1331"/>
      <c r="KN1331"/>
      <c r="KO1331"/>
      <c r="KP1331"/>
      <c r="KQ1331"/>
    </row>
    <row r="1332" spans="229:303" x14ac:dyDescent="0.25">
      <c r="HU1332" s="1"/>
      <c r="HW1332" s="3"/>
      <c r="HX1332" s="3"/>
      <c r="HY1332" s="3"/>
      <c r="HZ1332" s="3"/>
      <c r="KL1332"/>
      <c r="KN1332"/>
      <c r="KO1332"/>
      <c r="KP1332"/>
      <c r="KQ1332"/>
    </row>
    <row r="1333" spans="229:303" x14ac:dyDescent="0.25">
      <c r="HU1333" s="1"/>
      <c r="HW1333" s="3"/>
      <c r="HX1333" s="3"/>
      <c r="HY1333" s="3"/>
      <c r="HZ1333" s="3"/>
      <c r="KL1333"/>
      <c r="KN1333"/>
      <c r="KO1333"/>
      <c r="KP1333"/>
      <c r="KQ1333"/>
    </row>
    <row r="1334" spans="229:303" x14ac:dyDescent="0.25">
      <c r="HU1334" s="1"/>
      <c r="HW1334" s="3"/>
      <c r="HX1334" s="3"/>
      <c r="HY1334" s="3"/>
      <c r="HZ1334" s="3"/>
      <c r="KL1334"/>
      <c r="KN1334"/>
      <c r="KO1334"/>
      <c r="KP1334"/>
      <c r="KQ1334"/>
    </row>
    <row r="1335" spans="229:303" x14ac:dyDescent="0.25">
      <c r="HU1335" s="1"/>
      <c r="HW1335" s="3"/>
      <c r="HX1335" s="3"/>
      <c r="HY1335" s="3"/>
      <c r="HZ1335" s="3"/>
      <c r="KL1335"/>
      <c r="KN1335"/>
      <c r="KO1335"/>
      <c r="KP1335"/>
      <c r="KQ1335"/>
    </row>
    <row r="1336" spans="229:303" x14ac:dyDescent="0.25">
      <c r="HU1336" s="1"/>
      <c r="HW1336" s="3"/>
      <c r="HX1336" s="3"/>
      <c r="HY1336" s="3"/>
      <c r="HZ1336" s="3"/>
      <c r="KL1336"/>
      <c r="KN1336"/>
      <c r="KO1336"/>
      <c r="KP1336"/>
      <c r="KQ1336"/>
    </row>
    <row r="1337" spans="229:303" x14ac:dyDescent="0.25">
      <c r="HU1337" s="1"/>
      <c r="HW1337" s="3"/>
      <c r="HX1337" s="3"/>
      <c r="HY1337" s="3"/>
      <c r="HZ1337" s="3"/>
      <c r="KL1337"/>
      <c r="KN1337"/>
      <c r="KO1337"/>
      <c r="KP1337"/>
      <c r="KQ1337"/>
    </row>
    <row r="1338" spans="229:303" x14ac:dyDescent="0.25">
      <c r="HU1338" s="1"/>
      <c r="HW1338" s="3"/>
      <c r="HX1338" s="3"/>
      <c r="HY1338" s="3"/>
      <c r="HZ1338" s="3"/>
      <c r="KL1338"/>
      <c r="KN1338"/>
      <c r="KO1338"/>
      <c r="KP1338"/>
      <c r="KQ1338"/>
    </row>
    <row r="1339" spans="229:303" x14ac:dyDescent="0.25">
      <c r="HU1339" s="1"/>
      <c r="HW1339" s="3"/>
      <c r="HX1339" s="3"/>
      <c r="HY1339" s="3"/>
      <c r="HZ1339" s="3"/>
      <c r="KL1339"/>
      <c r="KN1339"/>
      <c r="KO1339"/>
      <c r="KP1339"/>
      <c r="KQ1339"/>
    </row>
    <row r="1340" spans="229:303" x14ac:dyDescent="0.25">
      <c r="HU1340" s="1"/>
      <c r="HW1340" s="3"/>
      <c r="HX1340" s="3"/>
      <c r="HY1340" s="3"/>
      <c r="HZ1340" s="3"/>
      <c r="KL1340"/>
      <c r="KN1340"/>
      <c r="KO1340"/>
      <c r="KP1340"/>
      <c r="KQ1340"/>
    </row>
    <row r="1341" spans="229:303" x14ac:dyDescent="0.25">
      <c r="HU1341" s="1"/>
      <c r="HW1341" s="3"/>
      <c r="HX1341" s="3"/>
      <c r="HY1341" s="3"/>
      <c r="HZ1341" s="3"/>
      <c r="KL1341"/>
      <c r="KN1341"/>
      <c r="KO1341"/>
      <c r="KP1341"/>
      <c r="KQ1341"/>
    </row>
    <row r="1342" spans="229:303" x14ac:dyDescent="0.25">
      <c r="HU1342" s="1"/>
      <c r="HW1342" s="3"/>
      <c r="HX1342" s="3"/>
      <c r="HY1342" s="3"/>
      <c r="HZ1342" s="3"/>
      <c r="KL1342"/>
      <c r="KN1342"/>
      <c r="KO1342"/>
      <c r="KP1342"/>
      <c r="KQ1342"/>
    </row>
    <row r="1343" spans="229:303" x14ac:dyDescent="0.25">
      <c r="HU1343" s="1"/>
      <c r="HW1343" s="3"/>
      <c r="HX1343" s="3"/>
      <c r="HY1343" s="3"/>
      <c r="HZ1343" s="3"/>
      <c r="KL1343"/>
      <c r="KN1343"/>
      <c r="KO1343"/>
      <c r="KP1343"/>
      <c r="KQ1343"/>
    </row>
    <row r="1344" spans="229:303" x14ac:dyDescent="0.25">
      <c r="HU1344" s="1"/>
      <c r="HW1344" s="3"/>
      <c r="HX1344" s="3"/>
      <c r="HY1344" s="3"/>
      <c r="HZ1344" s="3"/>
      <c r="KL1344"/>
      <c r="KN1344"/>
      <c r="KO1344"/>
      <c r="KP1344"/>
      <c r="KQ1344"/>
    </row>
    <row r="1345" spans="229:303" x14ac:dyDescent="0.25">
      <c r="HU1345" s="1"/>
      <c r="HW1345" s="3"/>
      <c r="HX1345" s="3"/>
      <c r="HY1345" s="3"/>
      <c r="HZ1345" s="3"/>
      <c r="KL1345"/>
      <c r="KN1345"/>
      <c r="KO1345"/>
      <c r="KP1345"/>
      <c r="KQ1345"/>
    </row>
    <row r="1346" spans="229:303" x14ac:dyDescent="0.25">
      <c r="HU1346" s="1"/>
      <c r="HW1346" s="3"/>
      <c r="HX1346" s="3"/>
      <c r="HY1346" s="3"/>
      <c r="HZ1346" s="3"/>
      <c r="KL1346"/>
      <c r="KN1346"/>
      <c r="KO1346"/>
      <c r="KP1346"/>
      <c r="KQ1346"/>
    </row>
    <row r="1347" spans="229:303" x14ac:dyDescent="0.25">
      <c r="HU1347" s="1"/>
      <c r="HW1347" s="3"/>
      <c r="HX1347" s="3"/>
      <c r="HY1347" s="3"/>
      <c r="HZ1347" s="3"/>
      <c r="KL1347"/>
      <c r="KN1347"/>
      <c r="KO1347"/>
      <c r="KP1347"/>
      <c r="KQ1347"/>
    </row>
    <row r="1348" spans="229:303" x14ac:dyDescent="0.25">
      <c r="HU1348" s="1"/>
      <c r="HW1348" s="3"/>
      <c r="HX1348" s="3"/>
      <c r="HY1348" s="3"/>
      <c r="HZ1348" s="3"/>
      <c r="KL1348"/>
      <c r="KN1348"/>
      <c r="KO1348"/>
      <c r="KP1348"/>
      <c r="KQ1348"/>
    </row>
    <row r="1349" spans="229:303" x14ac:dyDescent="0.25">
      <c r="HU1349" s="1"/>
      <c r="HW1349" s="3"/>
      <c r="HX1349" s="3"/>
      <c r="HY1349" s="3"/>
      <c r="HZ1349" s="3"/>
      <c r="KL1349"/>
      <c r="KN1349"/>
      <c r="KO1349"/>
      <c r="KP1349"/>
      <c r="KQ1349"/>
    </row>
    <row r="1350" spans="229:303" x14ac:dyDescent="0.25">
      <c r="HU1350" s="1"/>
      <c r="HW1350" s="3"/>
      <c r="HX1350" s="3"/>
      <c r="HY1350" s="3"/>
      <c r="HZ1350" s="3"/>
      <c r="KL1350"/>
      <c r="KN1350"/>
      <c r="KO1350"/>
      <c r="KP1350"/>
      <c r="KQ1350"/>
    </row>
    <row r="1351" spans="229:303" x14ac:dyDescent="0.25">
      <c r="HU1351" s="1"/>
      <c r="HW1351" s="3"/>
      <c r="HX1351" s="3"/>
      <c r="HY1351" s="3"/>
      <c r="HZ1351" s="3"/>
      <c r="KL1351"/>
      <c r="KN1351"/>
      <c r="KO1351"/>
      <c r="KP1351"/>
      <c r="KQ1351"/>
    </row>
    <row r="1352" spans="229:303" x14ac:dyDescent="0.25">
      <c r="HU1352" s="1"/>
      <c r="HW1352" s="3"/>
      <c r="HX1352" s="3"/>
      <c r="HY1352" s="3"/>
      <c r="HZ1352" s="3"/>
      <c r="KL1352"/>
      <c r="KN1352"/>
      <c r="KO1352"/>
      <c r="KP1352"/>
      <c r="KQ1352"/>
    </row>
    <row r="1353" spans="229:303" x14ac:dyDescent="0.25">
      <c r="HU1353" s="1"/>
      <c r="HW1353" s="3"/>
      <c r="HX1353" s="3"/>
      <c r="HY1353" s="3"/>
      <c r="HZ1353" s="3"/>
      <c r="KL1353"/>
      <c r="KN1353"/>
      <c r="KO1353"/>
      <c r="KP1353"/>
      <c r="KQ1353"/>
    </row>
    <row r="1354" spans="229:303" x14ac:dyDescent="0.25">
      <c r="HU1354" s="1"/>
      <c r="HW1354" s="3"/>
      <c r="HX1354" s="3"/>
      <c r="HY1354" s="3"/>
      <c r="HZ1354" s="3"/>
      <c r="KL1354"/>
      <c r="KN1354"/>
      <c r="KO1354"/>
      <c r="KP1354"/>
      <c r="KQ1354"/>
    </row>
    <row r="1355" spans="229:303" x14ac:dyDescent="0.25">
      <c r="HU1355" s="1"/>
      <c r="HW1355" s="3"/>
      <c r="HX1355" s="3"/>
      <c r="HY1355" s="3"/>
      <c r="HZ1355" s="3"/>
      <c r="KL1355"/>
      <c r="KN1355"/>
      <c r="KO1355"/>
      <c r="KP1355"/>
      <c r="KQ1355"/>
    </row>
    <row r="1356" spans="229:303" x14ac:dyDescent="0.25">
      <c r="HU1356" s="1"/>
      <c r="HW1356" s="3"/>
      <c r="HX1356" s="3"/>
      <c r="HY1356" s="3"/>
      <c r="HZ1356" s="3"/>
      <c r="KL1356"/>
      <c r="KN1356"/>
      <c r="KO1356"/>
      <c r="KP1356"/>
      <c r="KQ1356"/>
    </row>
    <row r="1357" spans="229:303" x14ac:dyDescent="0.25">
      <c r="HU1357" s="1"/>
      <c r="HW1357" s="3"/>
      <c r="HX1357" s="3"/>
      <c r="HY1357" s="3"/>
      <c r="HZ1357" s="3"/>
      <c r="KL1357"/>
      <c r="KN1357"/>
      <c r="KO1357"/>
      <c r="KP1357"/>
      <c r="KQ1357"/>
    </row>
    <row r="1358" spans="229:303" x14ac:dyDescent="0.25">
      <c r="HU1358" s="1"/>
      <c r="HW1358" s="3"/>
      <c r="HX1358" s="3"/>
      <c r="HY1358" s="3"/>
      <c r="HZ1358" s="3"/>
      <c r="KL1358"/>
      <c r="KN1358"/>
      <c r="KO1358"/>
      <c r="KP1358"/>
      <c r="KQ1358"/>
    </row>
    <row r="1359" spans="229:303" x14ac:dyDescent="0.25">
      <c r="HU1359" s="1"/>
      <c r="HW1359" s="3"/>
      <c r="HX1359" s="3"/>
      <c r="HY1359" s="3"/>
      <c r="HZ1359" s="3"/>
      <c r="KL1359"/>
      <c r="KN1359"/>
      <c r="KO1359"/>
      <c r="KP1359"/>
      <c r="KQ1359"/>
    </row>
    <row r="1360" spans="229:303" x14ac:dyDescent="0.25">
      <c r="HU1360" s="1"/>
      <c r="HW1360" s="3"/>
      <c r="HX1360" s="3"/>
      <c r="HY1360" s="3"/>
      <c r="HZ1360" s="3"/>
      <c r="KL1360"/>
      <c r="KN1360"/>
      <c r="KO1360"/>
      <c r="KP1360"/>
      <c r="KQ1360"/>
    </row>
    <row r="1361" spans="229:303" x14ac:dyDescent="0.25">
      <c r="HU1361" s="1"/>
      <c r="HW1361" s="3"/>
      <c r="HX1361" s="3"/>
      <c r="HY1361" s="3"/>
      <c r="HZ1361" s="3"/>
      <c r="KL1361"/>
      <c r="KN1361"/>
      <c r="KO1361"/>
      <c r="KP1361"/>
      <c r="KQ1361"/>
    </row>
    <row r="1362" spans="229:303" x14ac:dyDescent="0.25">
      <c r="HU1362" s="1"/>
      <c r="HW1362" s="3"/>
      <c r="HX1362" s="3"/>
      <c r="HY1362" s="3"/>
      <c r="HZ1362" s="3"/>
      <c r="KL1362"/>
      <c r="KN1362"/>
      <c r="KO1362"/>
      <c r="KP1362"/>
      <c r="KQ1362"/>
    </row>
    <row r="1363" spans="229:303" x14ac:dyDescent="0.25">
      <c r="HU1363" s="1"/>
      <c r="HW1363" s="3"/>
      <c r="HX1363" s="3"/>
      <c r="HY1363" s="3"/>
      <c r="HZ1363" s="3"/>
      <c r="KL1363"/>
      <c r="KN1363"/>
      <c r="KO1363"/>
      <c r="KP1363"/>
      <c r="KQ1363"/>
    </row>
    <row r="1364" spans="229:303" x14ac:dyDescent="0.25">
      <c r="HU1364" s="1"/>
      <c r="HW1364" s="3"/>
      <c r="HX1364" s="3"/>
      <c r="HY1364" s="3"/>
      <c r="HZ1364" s="3"/>
      <c r="KL1364"/>
      <c r="KN1364"/>
      <c r="KO1364"/>
      <c r="KP1364"/>
      <c r="KQ1364"/>
    </row>
    <row r="1365" spans="229:303" x14ac:dyDescent="0.25">
      <c r="HU1365" s="1"/>
      <c r="HW1365" s="3"/>
      <c r="HX1365" s="3"/>
      <c r="HY1365" s="3"/>
      <c r="HZ1365" s="3"/>
      <c r="KL1365"/>
      <c r="KN1365"/>
      <c r="KO1365"/>
      <c r="KP1365"/>
      <c r="KQ1365"/>
    </row>
    <row r="1366" spans="229:303" x14ac:dyDescent="0.25">
      <c r="HU1366" s="1"/>
      <c r="HW1366" s="3"/>
      <c r="HX1366" s="3"/>
      <c r="HY1366" s="3"/>
      <c r="HZ1366" s="3"/>
      <c r="KL1366"/>
      <c r="KN1366"/>
      <c r="KO1366"/>
      <c r="KP1366"/>
      <c r="KQ1366"/>
    </row>
    <row r="1367" spans="229:303" x14ac:dyDescent="0.25">
      <c r="HU1367" s="1"/>
      <c r="HW1367" s="3"/>
      <c r="HX1367" s="3"/>
      <c r="HY1367" s="3"/>
      <c r="HZ1367" s="3"/>
      <c r="KL1367"/>
      <c r="KN1367"/>
      <c r="KO1367"/>
      <c r="KP1367"/>
      <c r="KQ1367"/>
    </row>
    <row r="1368" spans="229:303" x14ac:dyDescent="0.25">
      <c r="HU1368" s="1"/>
      <c r="HW1368" s="3"/>
      <c r="HX1368" s="3"/>
      <c r="HY1368" s="3"/>
      <c r="HZ1368" s="3"/>
      <c r="KL1368"/>
      <c r="KN1368"/>
      <c r="KO1368"/>
      <c r="KP1368"/>
      <c r="KQ1368"/>
    </row>
    <row r="1369" spans="229:303" x14ac:dyDescent="0.25">
      <c r="HU1369" s="1"/>
      <c r="HW1369" s="3"/>
      <c r="HX1369" s="3"/>
      <c r="HY1369" s="3"/>
      <c r="HZ1369" s="3"/>
      <c r="KL1369"/>
      <c r="KN1369"/>
      <c r="KO1369"/>
      <c r="KP1369"/>
      <c r="KQ1369"/>
    </row>
    <row r="1370" spans="229:303" x14ac:dyDescent="0.25">
      <c r="HU1370" s="1"/>
      <c r="HW1370" s="3"/>
      <c r="HX1370" s="3"/>
      <c r="HY1370" s="3"/>
      <c r="HZ1370" s="3"/>
      <c r="KL1370"/>
      <c r="KN1370"/>
      <c r="KO1370"/>
      <c r="KP1370"/>
      <c r="KQ1370"/>
    </row>
    <row r="1371" spans="229:303" x14ac:dyDescent="0.25">
      <c r="HU1371" s="1"/>
      <c r="HW1371" s="3"/>
      <c r="HX1371" s="3"/>
      <c r="HY1371" s="3"/>
      <c r="HZ1371" s="3"/>
      <c r="KL1371"/>
      <c r="KN1371"/>
      <c r="KO1371"/>
      <c r="KP1371"/>
      <c r="KQ1371"/>
    </row>
    <row r="1372" spans="229:303" x14ac:dyDescent="0.25">
      <c r="HU1372" s="1"/>
      <c r="HW1372" s="3"/>
      <c r="HX1372" s="3"/>
      <c r="HY1372" s="3"/>
      <c r="HZ1372" s="3"/>
      <c r="KL1372"/>
      <c r="KN1372"/>
      <c r="KO1372"/>
      <c r="KP1372"/>
      <c r="KQ1372"/>
    </row>
    <row r="1373" spans="229:303" x14ac:dyDescent="0.25">
      <c r="HU1373" s="1"/>
      <c r="HW1373" s="3"/>
      <c r="HX1373" s="3"/>
      <c r="HY1373" s="3"/>
      <c r="HZ1373" s="3"/>
      <c r="KL1373"/>
      <c r="KN1373"/>
      <c r="KO1373"/>
      <c r="KP1373"/>
      <c r="KQ1373"/>
    </row>
    <row r="1374" spans="229:303" x14ac:dyDescent="0.25">
      <c r="HU1374" s="1"/>
      <c r="HW1374" s="3"/>
      <c r="HX1374" s="3"/>
      <c r="HY1374" s="3"/>
      <c r="HZ1374" s="3"/>
      <c r="KL1374"/>
      <c r="KN1374"/>
      <c r="KO1374"/>
      <c r="KP1374"/>
      <c r="KQ1374"/>
    </row>
    <row r="1375" spans="229:303" x14ac:dyDescent="0.25">
      <c r="HU1375" s="1"/>
      <c r="HW1375" s="3"/>
      <c r="HX1375" s="3"/>
      <c r="HY1375" s="3"/>
      <c r="HZ1375" s="3"/>
      <c r="KL1375"/>
      <c r="KN1375"/>
      <c r="KO1375"/>
      <c r="KP1375"/>
      <c r="KQ1375"/>
    </row>
    <row r="1376" spans="229:303" x14ac:dyDescent="0.25">
      <c r="HU1376" s="1"/>
      <c r="HW1376" s="3"/>
      <c r="HX1376" s="3"/>
      <c r="HY1376" s="3"/>
      <c r="HZ1376" s="3"/>
      <c r="KL1376"/>
      <c r="KN1376"/>
      <c r="KO1376"/>
      <c r="KP1376"/>
      <c r="KQ1376"/>
    </row>
    <row r="1377" spans="229:303" x14ac:dyDescent="0.25">
      <c r="HU1377" s="1"/>
      <c r="HW1377" s="3"/>
      <c r="HX1377" s="3"/>
      <c r="HY1377" s="3"/>
      <c r="HZ1377" s="3"/>
      <c r="KL1377"/>
      <c r="KN1377"/>
      <c r="KO1377"/>
      <c r="KP1377"/>
      <c r="KQ1377"/>
    </row>
    <row r="1378" spans="229:303" x14ac:dyDescent="0.25">
      <c r="HU1378" s="1"/>
      <c r="HW1378" s="3"/>
      <c r="HX1378" s="3"/>
      <c r="HY1378" s="3"/>
      <c r="HZ1378" s="3"/>
      <c r="KL1378"/>
      <c r="KN1378"/>
      <c r="KO1378"/>
      <c r="KP1378"/>
      <c r="KQ1378"/>
    </row>
    <row r="1379" spans="229:303" x14ac:dyDescent="0.25">
      <c r="HU1379" s="1"/>
      <c r="HW1379" s="3"/>
      <c r="HX1379" s="3"/>
      <c r="HY1379" s="3"/>
      <c r="HZ1379" s="3"/>
      <c r="KL1379"/>
      <c r="KN1379"/>
      <c r="KO1379"/>
      <c r="KP1379"/>
      <c r="KQ1379"/>
    </row>
    <row r="1380" spans="229:303" x14ac:dyDescent="0.25">
      <c r="HU1380" s="1"/>
      <c r="HW1380" s="3"/>
      <c r="HX1380" s="3"/>
      <c r="HY1380" s="3"/>
      <c r="HZ1380" s="3"/>
      <c r="KL1380"/>
      <c r="KN1380"/>
      <c r="KO1380"/>
      <c r="KP1380"/>
      <c r="KQ1380"/>
    </row>
    <row r="1381" spans="229:303" x14ac:dyDescent="0.25">
      <c r="HU1381" s="1"/>
      <c r="HW1381" s="3"/>
      <c r="HX1381" s="3"/>
      <c r="HY1381" s="3"/>
      <c r="HZ1381" s="3"/>
      <c r="KL1381"/>
      <c r="KN1381"/>
      <c r="KO1381"/>
      <c r="KP1381"/>
      <c r="KQ1381"/>
    </row>
    <row r="1382" spans="229:303" x14ac:dyDescent="0.25">
      <c r="HU1382" s="1"/>
      <c r="HW1382" s="3"/>
      <c r="HX1382" s="3"/>
      <c r="HY1382" s="3"/>
      <c r="HZ1382" s="3"/>
      <c r="KL1382"/>
      <c r="KN1382"/>
      <c r="KO1382"/>
      <c r="KP1382"/>
      <c r="KQ1382"/>
    </row>
    <row r="1383" spans="229:303" x14ac:dyDescent="0.25">
      <c r="HU1383" s="1"/>
      <c r="HW1383" s="3"/>
      <c r="HX1383" s="3"/>
      <c r="HY1383" s="3"/>
      <c r="HZ1383" s="3"/>
      <c r="KL1383"/>
      <c r="KN1383"/>
      <c r="KO1383"/>
      <c r="KP1383"/>
      <c r="KQ1383"/>
    </row>
    <row r="1384" spans="229:303" x14ac:dyDescent="0.25">
      <c r="HU1384" s="1"/>
      <c r="HW1384" s="3"/>
      <c r="HX1384" s="3"/>
      <c r="HY1384" s="3"/>
      <c r="HZ1384" s="3"/>
      <c r="KL1384"/>
      <c r="KN1384"/>
      <c r="KO1384"/>
      <c r="KP1384"/>
      <c r="KQ1384"/>
    </row>
    <row r="1385" spans="229:303" x14ac:dyDescent="0.25">
      <c r="HU1385" s="1"/>
      <c r="HW1385" s="3"/>
      <c r="HX1385" s="3"/>
      <c r="HY1385" s="3"/>
      <c r="HZ1385" s="3"/>
      <c r="KL1385"/>
      <c r="KN1385"/>
      <c r="KO1385"/>
      <c r="KP1385"/>
      <c r="KQ1385"/>
    </row>
    <row r="1386" spans="229:303" x14ac:dyDescent="0.25">
      <c r="HU1386" s="1"/>
      <c r="HW1386" s="3"/>
      <c r="HX1386" s="3"/>
      <c r="HY1386" s="3"/>
      <c r="HZ1386" s="3"/>
      <c r="KL1386"/>
      <c r="KN1386"/>
      <c r="KO1386"/>
      <c r="KP1386"/>
      <c r="KQ1386"/>
    </row>
    <row r="1387" spans="229:303" x14ac:dyDescent="0.25">
      <c r="HU1387" s="1"/>
      <c r="HW1387" s="3"/>
      <c r="HX1387" s="3"/>
      <c r="HY1387" s="3"/>
      <c r="HZ1387" s="3"/>
      <c r="KL1387"/>
      <c r="KN1387"/>
      <c r="KO1387"/>
      <c r="KP1387"/>
      <c r="KQ1387"/>
    </row>
    <row r="1388" spans="229:303" x14ac:dyDescent="0.25">
      <c r="HU1388" s="1"/>
      <c r="HW1388" s="3"/>
      <c r="HX1388" s="3"/>
      <c r="HY1388" s="3"/>
      <c r="HZ1388" s="3"/>
      <c r="KL1388"/>
      <c r="KN1388"/>
      <c r="KO1388"/>
      <c r="KP1388"/>
      <c r="KQ1388"/>
    </row>
    <row r="1389" spans="229:303" x14ac:dyDescent="0.25">
      <c r="HU1389" s="1"/>
      <c r="HW1389" s="3"/>
      <c r="HX1389" s="3"/>
      <c r="HY1389" s="3"/>
      <c r="HZ1389" s="3"/>
      <c r="KL1389"/>
      <c r="KN1389"/>
      <c r="KO1389"/>
      <c r="KP1389"/>
      <c r="KQ1389"/>
    </row>
    <row r="1390" spans="229:303" x14ac:dyDescent="0.25">
      <c r="HU1390" s="1"/>
      <c r="HW1390" s="3"/>
      <c r="HX1390" s="3"/>
      <c r="HY1390" s="3"/>
      <c r="HZ1390" s="3"/>
      <c r="KL1390"/>
      <c r="KN1390"/>
      <c r="KO1390"/>
      <c r="KP1390"/>
      <c r="KQ1390"/>
    </row>
    <row r="1391" spans="229:303" x14ac:dyDescent="0.25">
      <c r="HU1391" s="1"/>
      <c r="HW1391" s="3"/>
      <c r="HX1391" s="3"/>
      <c r="HY1391" s="3"/>
      <c r="HZ1391" s="3"/>
      <c r="KL1391"/>
      <c r="KN1391"/>
      <c r="KO1391"/>
      <c r="KP1391"/>
      <c r="KQ1391"/>
    </row>
    <row r="1392" spans="229:303" x14ac:dyDescent="0.25">
      <c r="HU1392" s="1"/>
      <c r="HW1392" s="3"/>
      <c r="HX1392" s="3"/>
      <c r="HY1392" s="3"/>
      <c r="HZ1392" s="3"/>
      <c r="KL1392"/>
      <c r="KN1392"/>
      <c r="KO1392"/>
      <c r="KP1392"/>
      <c r="KQ1392"/>
    </row>
    <row r="1393" spans="229:303" x14ac:dyDescent="0.25">
      <c r="HU1393" s="1"/>
      <c r="HW1393" s="3"/>
      <c r="HX1393" s="3"/>
      <c r="HY1393" s="3"/>
      <c r="HZ1393" s="3"/>
      <c r="KL1393"/>
      <c r="KN1393"/>
      <c r="KO1393"/>
      <c r="KP1393"/>
      <c r="KQ1393"/>
    </row>
    <row r="1394" spans="229:303" x14ac:dyDescent="0.25">
      <c r="HU1394" s="1"/>
      <c r="HW1394" s="3"/>
      <c r="HX1394" s="3"/>
      <c r="HY1394" s="3"/>
      <c r="HZ1394" s="3"/>
      <c r="KL1394"/>
      <c r="KN1394"/>
      <c r="KO1394"/>
      <c r="KP1394"/>
      <c r="KQ1394"/>
    </row>
    <row r="1395" spans="229:303" x14ac:dyDescent="0.25">
      <c r="HU1395" s="1"/>
      <c r="HW1395" s="3"/>
      <c r="HX1395" s="3"/>
      <c r="HY1395" s="3"/>
      <c r="HZ1395" s="3"/>
      <c r="KL1395"/>
      <c r="KN1395"/>
      <c r="KO1395"/>
      <c r="KP1395"/>
      <c r="KQ1395"/>
    </row>
    <row r="1396" spans="229:303" x14ac:dyDescent="0.25">
      <c r="HU1396" s="1"/>
      <c r="HW1396" s="3"/>
      <c r="HX1396" s="3"/>
      <c r="HY1396" s="3"/>
      <c r="HZ1396" s="3"/>
      <c r="KL1396"/>
      <c r="KN1396"/>
      <c r="KO1396"/>
      <c r="KP1396"/>
      <c r="KQ1396"/>
    </row>
    <row r="1397" spans="229:303" x14ac:dyDescent="0.25">
      <c r="HU1397" s="1"/>
      <c r="HW1397" s="3"/>
      <c r="HX1397" s="3"/>
      <c r="HY1397" s="3"/>
      <c r="HZ1397" s="3"/>
      <c r="KL1397"/>
      <c r="KN1397"/>
      <c r="KO1397"/>
      <c r="KP1397"/>
      <c r="KQ1397"/>
    </row>
    <row r="1398" spans="229:303" x14ac:dyDescent="0.25">
      <c r="HU1398" s="1"/>
      <c r="HW1398" s="3"/>
      <c r="HX1398" s="3"/>
      <c r="HY1398" s="3"/>
      <c r="HZ1398" s="3"/>
      <c r="KL1398"/>
      <c r="KN1398"/>
      <c r="KO1398"/>
      <c r="KP1398"/>
      <c r="KQ1398"/>
    </row>
    <row r="1399" spans="229:303" x14ac:dyDescent="0.25">
      <c r="HU1399" s="1"/>
      <c r="HW1399" s="3"/>
      <c r="HX1399" s="3"/>
      <c r="HY1399" s="3"/>
      <c r="HZ1399" s="3"/>
      <c r="KL1399"/>
      <c r="KN1399"/>
      <c r="KO1399"/>
      <c r="KP1399"/>
      <c r="KQ1399"/>
    </row>
    <row r="1400" spans="229:303" x14ac:dyDescent="0.25">
      <c r="HU1400" s="1"/>
      <c r="HW1400" s="3"/>
      <c r="HX1400" s="3"/>
      <c r="HY1400" s="3"/>
      <c r="HZ1400" s="3"/>
      <c r="KL1400"/>
      <c r="KN1400"/>
      <c r="KO1400"/>
      <c r="KP1400"/>
      <c r="KQ1400"/>
    </row>
    <row r="1401" spans="229:303" x14ac:dyDescent="0.25">
      <c r="HU1401" s="1"/>
      <c r="HW1401" s="3"/>
      <c r="HX1401" s="3"/>
      <c r="HY1401" s="3"/>
      <c r="HZ1401" s="3"/>
      <c r="KL1401"/>
      <c r="KN1401"/>
      <c r="KO1401"/>
      <c r="KP1401"/>
      <c r="KQ1401"/>
    </row>
    <row r="1402" spans="229:303" x14ac:dyDescent="0.25">
      <c r="HU1402" s="1"/>
      <c r="HW1402" s="3"/>
      <c r="HX1402" s="3"/>
      <c r="HY1402" s="3"/>
      <c r="HZ1402" s="3"/>
      <c r="KL1402"/>
      <c r="KN1402"/>
      <c r="KO1402"/>
      <c r="KP1402"/>
      <c r="KQ1402"/>
    </row>
    <row r="1403" spans="229:303" x14ac:dyDescent="0.25">
      <c r="HU1403" s="1"/>
      <c r="HW1403" s="3"/>
      <c r="HX1403" s="3"/>
      <c r="HY1403" s="3"/>
      <c r="HZ1403" s="3"/>
      <c r="KL1403"/>
      <c r="KN1403"/>
      <c r="KO1403"/>
      <c r="KP1403"/>
      <c r="KQ1403"/>
    </row>
    <row r="1404" spans="229:303" x14ac:dyDescent="0.25">
      <c r="HU1404" s="1"/>
      <c r="HW1404" s="3"/>
      <c r="HX1404" s="3"/>
      <c r="HY1404" s="3"/>
      <c r="HZ1404" s="3"/>
      <c r="KL1404"/>
      <c r="KN1404"/>
      <c r="KO1404"/>
      <c r="KP1404"/>
      <c r="KQ1404"/>
    </row>
    <row r="1405" spans="229:303" x14ac:dyDescent="0.25">
      <c r="HU1405" s="1"/>
      <c r="HW1405" s="3"/>
      <c r="HX1405" s="3"/>
      <c r="HY1405" s="3"/>
      <c r="HZ1405" s="3"/>
      <c r="KL1405"/>
      <c r="KN1405"/>
      <c r="KO1405"/>
      <c r="KP1405"/>
      <c r="KQ1405"/>
    </row>
    <row r="1406" spans="229:303" x14ac:dyDescent="0.25">
      <c r="HU1406" s="1"/>
      <c r="HW1406" s="3"/>
      <c r="HX1406" s="3"/>
      <c r="HY1406" s="3"/>
      <c r="HZ1406" s="3"/>
      <c r="KL1406"/>
      <c r="KN1406"/>
      <c r="KO1406"/>
      <c r="KP1406"/>
      <c r="KQ1406"/>
    </row>
    <row r="1407" spans="229:303" x14ac:dyDescent="0.25">
      <c r="HU1407" s="1"/>
      <c r="HW1407" s="3"/>
      <c r="HX1407" s="3"/>
      <c r="HY1407" s="3"/>
      <c r="HZ1407" s="3"/>
      <c r="KL1407"/>
      <c r="KN1407"/>
      <c r="KO1407"/>
      <c r="KP1407"/>
      <c r="KQ1407"/>
    </row>
    <row r="1408" spans="229:303" x14ac:dyDescent="0.25">
      <c r="HU1408" s="1"/>
      <c r="HW1408" s="3"/>
      <c r="HX1408" s="3"/>
      <c r="HY1408" s="3"/>
      <c r="HZ1408" s="3"/>
      <c r="KL1408"/>
      <c r="KN1408"/>
      <c r="KO1408"/>
      <c r="KP1408"/>
      <c r="KQ1408"/>
    </row>
  </sheetData>
  <phoneticPr fontId="4" type="noConversion"/>
  <pageMargins left="0.7" right="0.7" top="0.75" bottom="0.75" header="0.3" footer="0.3"/>
  <pageSetup orientation="portrait" horizontalDpi="1200" verticalDpi="1200"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5C55AD9-81D8-40EE-AE02-80AD58E2C0A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File Path</vt:lpstr>
      <vt:lpstr>OFWW Log</vt:lpstr>
      <vt:lpstr>GT StartStopLog</vt:lpstr>
      <vt:lpstr>Fuel. Gas specifications</vt:lpstr>
      <vt:lpstr>GT1A_Performance</vt:lpstr>
      <vt:lpstr>GT1B_Performance</vt:lpstr>
      <vt:lpstr>GT1C_Performance</vt:lpstr>
      <vt:lpstr>Performance Chart</vt:lpstr>
      <vt:lpstr>GT_Combined_Summary</vt:lpstr>
      <vt:lpstr>EndDate</vt:lpstr>
      <vt:lpstr>'Performance Chart'!Print_Area</vt:lpstr>
      <vt:lpstr>StartDate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Muhammad Zubair Malik</dc:creator>
  <cp:lastModifiedBy>Muhammad Zubair Malik</cp:lastModifiedBy>
  <cp:lastPrinted>2026-03-17T07:08:43Z</cp:lastPrinted>
  <dcterms:created xsi:type="dcterms:W3CDTF">2026-02-06T12:24:54Z</dcterms:created>
  <dcterms:modified xsi:type="dcterms:W3CDTF">2026-03-24T09:23:41Z</dcterms:modified>
</cp:coreProperties>
</file>